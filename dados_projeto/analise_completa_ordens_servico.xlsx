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s de Ordem" sheetId="1" state="visible" r:id="rId1"/>
    <sheet name="Campos por Tipo" sheetId="2" state="visible" r:id="rId2"/>
    <sheet name="Campos Select" sheetId="3" state="visible" r:id="rId3"/>
    <sheet name="Campos Condicionais" sheetId="4" state="visible" r:id="rId4"/>
    <sheet name="Checkboxes" sheetId="5" state="visible" r:id="rId5"/>
  </sheets>
  <definedNames>
    <definedName name="_xlnm._FilterDatabase" localSheetId="0" hidden="1">'Tipos de Ordem'!$A$1:$F$51</definedName>
    <definedName name="_xlnm._FilterDatabase" localSheetId="1" hidden="1">'Campos por Tipo'!$A$1:$F$294</definedName>
    <definedName name="_xlnm._FilterDatabase" localSheetId="2" hidden="1">'Campos Select'!$A$1:$D$21</definedName>
    <definedName name="_xlnm._FilterDatabase" localSheetId="3" hidden="1">'Campos Condicionais'!$A$1:$G$49</definedName>
    <definedName name="_xlnm._FilterDatabase" localSheetId="4" hidden="1">'Checkboxes'!$A$1:$D$19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40" customWidth="1" min="4" max="4"/>
    <col width="45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Tipo de Ordem</t>
        </is>
      </c>
      <c r="C1" s="1" t="inlineStr">
        <is>
          <t>Categoria</t>
        </is>
      </c>
      <c r="D1" s="1" t="inlineStr">
        <is>
          <t>Tela Especifica</t>
        </is>
      </c>
      <c r="E1" s="1" t="inlineStr">
        <is>
          <t>Funcao Verificacao</t>
        </is>
      </c>
      <c r="F1" s="1" t="inlineStr">
        <is>
          <t>Template Texto</t>
        </is>
      </c>
    </row>
    <row r="2">
      <c r="A2" s="2" t="n">
        <v>1</v>
      </c>
      <c r="B2" s="2" t="inlineStr">
        <is>
          <t>ET: VISTORIA - LIGACAO NOVA MEDIA TENSAO</t>
        </is>
      </c>
      <c r="C2" s="2" t="inlineStr">
        <is>
          <t>Tela Especifica</t>
        </is>
      </c>
      <c r="D2" s="2" t="inlineStr">
        <is>
          <t>Tela_Vistoria_ligacao</t>
        </is>
      </c>
      <c r="E2" s="2" t="inlineStr">
        <is>
          <t>p$Retorno_Viistoria_Ligacao</t>
        </is>
      </c>
      <c r="F2" s="2" t="inlineStr">
        <is>
          <t>-</t>
        </is>
      </c>
    </row>
    <row r="3">
      <c r="A3" s="2" t="n">
        <v>2</v>
      </c>
      <c r="B3" s="2" t="inlineStr">
        <is>
          <t>ET: LIGACAO - LIGACAO NOVA MEDIA TENSAO</t>
        </is>
      </c>
      <c r="C3" s="2" t="inlineStr">
        <is>
          <t>Tela Especifica</t>
        </is>
      </c>
      <c r="D3" s="2" t="inlineStr">
        <is>
          <t>Tela_Execucao_Ligacao_Nova</t>
        </is>
      </c>
      <c r="E3" s="2" t="inlineStr">
        <is>
          <t>p$Verificar_Execucao_Ligacao_nova</t>
        </is>
      </c>
      <c r="F3" s="2" t="inlineStr">
        <is>
          <t>-</t>
        </is>
      </c>
    </row>
    <row r="4">
      <c r="A4" s="2" t="n">
        <v>3</v>
      </c>
      <c r="B4" s="2" t="inlineStr">
        <is>
          <t>ET: EXECUCAO - LIGACAO NOVA MEDIA TENSAO</t>
        </is>
      </c>
      <c r="C4" s="2" t="inlineStr">
        <is>
          <t>Tela Especifica</t>
        </is>
      </c>
      <c r="D4" s="2" t="inlineStr">
        <is>
          <t>Tela_Execucao_Ligacao_Nova</t>
        </is>
      </c>
      <c r="E4" s="2" t="inlineStr">
        <is>
          <t>p$Verificar_Execucao_Ligacao_nova</t>
        </is>
      </c>
      <c r="F4" s="2" t="inlineStr">
        <is>
          <t>-</t>
        </is>
      </c>
    </row>
    <row r="5">
      <c r="A5" s="2" t="n">
        <v>4</v>
      </c>
      <c r="B5" s="2" t="inlineStr">
        <is>
          <t>LIGACAO NOVA SIMULTANEA</t>
        </is>
      </c>
      <c r="C5" s="2" t="inlineStr">
        <is>
          <t>Tela Especifica</t>
        </is>
      </c>
      <c r="D5" s="2" t="inlineStr">
        <is>
          <t>Tela_Execucao_Ligacao_Nova</t>
        </is>
      </c>
      <c r="E5" s="2" t="inlineStr">
        <is>
          <t>p$Verificar_Execucao_Ligacao_nova</t>
        </is>
      </c>
      <c r="F5" s="2" t="inlineStr">
        <is>
          <t>-</t>
        </is>
      </c>
    </row>
    <row r="6">
      <c r="A6" s="2" t="n">
        <v>5</v>
      </c>
      <c r="B6" s="2" t="inlineStr">
        <is>
          <t>LIGACAO NOVA ISOLADA</t>
        </is>
      </c>
      <c r="C6" s="2" t="inlineStr">
        <is>
          <t>Tela Especifica</t>
        </is>
      </c>
      <c r="D6" s="2" t="inlineStr">
        <is>
          <t>Tela_Execucao_Ligacao_Nova</t>
        </is>
      </c>
      <c r="E6" s="2" t="inlineStr">
        <is>
          <t>p$Verificar_Execucao_Ligacao_nova</t>
        </is>
      </c>
      <c r="F6" s="2" t="inlineStr">
        <is>
          <t>-</t>
        </is>
      </c>
    </row>
    <row r="7">
      <c r="A7" s="2" t="n">
        <v>6</v>
      </c>
      <c r="B7" s="2" t="inlineStr">
        <is>
          <t>LIGACAO NOVA (SIMULTANEA/ISOLADA/MT)</t>
        </is>
      </c>
      <c r="C7" s="2" t="inlineStr">
        <is>
          <t>Tela Especifica</t>
        </is>
      </c>
      <c r="D7" s="2" t="inlineStr">
        <is>
          <t>Tela_Execucao_Ligacao_Nova</t>
        </is>
      </c>
      <c r="E7" s="2" t="inlineStr">
        <is>
          <t>p$Verificar_Execucao_Ligacao_nova</t>
        </is>
      </c>
      <c r="F7" s="2" t="inlineStr">
        <is>
          <t>-</t>
        </is>
      </c>
    </row>
    <row r="8">
      <c r="A8" s="2" t="n">
        <v>7</v>
      </c>
      <c r="B8" s="2" t="inlineStr">
        <is>
          <t>LIGACAO NOVA MT - CLIENTE LIVRE</t>
        </is>
      </c>
      <c r="C8" s="2" t="inlineStr">
        <is>
          <t>Tela Especifica</t>
        </is>
      </c>
      <c r="D8" s="2" t="inlineStr">
        <is>
          <t>Tela_Substituicao_de_Equipamentos</t>
        </is>
      </c>
      <c r="E8" s="2" t="inlineStr">
        <is>
          <t>p$Verificar_Substituicao_de_Equipamentos</t>
        </is>
      </c>
      <c r="F8" s="2" t="inlineStr">
        <is>
          <t>-</t>
        </is>
      </c>
    </row>
    <row r="9">
      <c r="A9" s="2" t="n">
        <v>8</v>
      </c>
      <c r="B9" s="2" t="inlineStr">
        <is>
          <t>AFERICAO DE MEDIDOR</t>
        </is>
      </c>
      <c r="C9" s="2" t="inlineStr">
        <is>
          <t>Tela Especifica</t>
        </is>
      </c>
      <c r="D9" s="2" t="inlineStr">
        <is>
          <t>Tela_Substituicao_de_Equipamentos</t>
        </is>
      </c>
      <c r="E9" s="2" t="inlineStr">
        <is>
          <t>p$Verificar_Substituicao_de_Equipamentos</t>
        </is>
      </c>
      <c r="F9" s="2" t="inlineStr">
        <is>
          <t>-</t>
        </is>
      </c>
    </row>
    <row r="10">
      <c r="A10" s="3" t="n">
        <v>9</v>
      </c>
      <c r="B10" s="3" t="inlineStr">
        <is>
          <t>AFERICAO MEDIDOR CLIENTE LIVRE</t>
        </is>
      </c>
      <c r="C10" s="3" t="inlineStr">
        <is>
          <t>Direto para Envio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</row>
    <row r="11">
      <c r="A11" s="2" t="n">
        <v>10</v>
      </c>
      <c r="B11" s="2" t="inlineStr">
        <is>
          <t>SUBST. DE EQUIPAMENTO DE MEDICAO</t>
        </is>
      </c>
      <c r="C11" s="2" t="inlineStr">
        <is>
          <t>Tela Especifica</t>
        </is>
      </c>
      <c r="D11" s="2" t="inlineStr">
        <is>
          <t>Tela_Substituicao_de_Equipamentos</t>
        </is>
      </c>
      <c r="E11" s="2" t="inlineStr">
        <is>
          <t>p$Verificar_Substituicao_de_Equipamentos</t>
        </is>
      </c>
      <c r="F11" s="2" t="inlineStr">
        <is>
          <t>-</t>
        </is>
      </c>
    </row>
    <row r="12">
      <c r="A12" s="2" t="n">
        <v>11</v>
      </c>
      <c r="B12" s="2" t="inlineStr">
        <is>
          <t>SUBST. MEDIDOR A PEDIDO</t>
        </is>
      </c>
      <c r="C12" s="2" t="inlineStr">
        <is>
          <t>Tela Especifica</t>
        </is>
      </c>
      <c r="D12" s="2" t="inlineStr">
        <is>
          <t>Tela_Substituicao_de_Equipamentos</t>
        </is>
      </c>
      <c r="E12" s="2" t="inlineStr">
        <is>
          <t>p$Verificar_Substituicao_de_Equipamentos</t>
        </is>
      </c>
      <c r="F12" s="2" t="inlineStr">
        <is>
          <t>-</t>
        </is>
      </c>
    </row>
    <row r="13">
      <c r="A13" s="2" t="n">
        <v>12</v>
      </c>
      <c r="B13" s="2" t="inlineStr">
        <is>
          <t>SUBST. MEDIDOR INICIATIVA COELCE</t>
        </is>
      </c>
      <c r="C13" s="2" t="inlineStr">
        <is>
          <t>Tela Especifica</t>
        </is>
      </c>
      <c r="D13" s="2" t="inlineStr">
        <is>
          <t>Tela_Substituicao_de_Equipamentos</t>
        </is>
      </c>
      <c r="E13" s="2" t="inlineStr">
        <is>
          <t>p$Verificar_Substituicao_de_Equipamentos</t>
        </is>
      </c>
      <c r="F13" s="2" t="inlineStr">
        <is>
          <t>-</t>
        </is>
      </c>
    </row>
    <row r="14">
      <c r="A14" s="2" t="n">
        <v>13</v>
      </c>
      <c r="B14" s="2" t="inlineStr">
        <is>
          <t>EXECUCAO DO DECRESCIMO DE POTENCIA</t>
        </is>
      </c>
      <c r="C14" s="2" t="inlineStr">
        <is>
          <t>Tela Especifica</t>
        </is>
      </c>
      <c r="D14" s="2" t="inlineStr">
        <is>
          <t>Tela_Substituicao_de_Equipamentos</t>
        </is>
      </c>
      <c r="E14" s="2" t="inlineStr">
        <is>
          <t>p$Verificar_Substituicao_de_Equipamentos</t>
        </is>
      </c>
      <c r="F14" s="2" t="inlineStr">
        <is>
          <t>-</t>
        </is>
      </c>
    </row>
    <row r="15">
      <c r="A15" s="2" t="n">
        <v>14</v>
      </c>
      <c r="B15" s="2" t="inlineStr">
        <is>
          <t>EXECUCAO DO ACRESCIMO DE POTENCIA</t>
        </is>
      </c>
      <c r="C15" s="2" t="inlineStr">
        <is>
          <t>Tela Especifica</t>
        </is>
      </c>
      <c r="D15" s="2" t="inlineStr">
        <is>
          <t>Tela_Inspecao_UC_Cortada</t>
        </is>
      </c>
      <c r="E15" s="2" t="inlineStr">
        <is>
          <t>p$Retorno_Inspecao_de_UC_Cortada</t>
        </is>
      </c>
      <c r="F15" s="2" t="inlineStr">
        <is>
          <t>-</t>
        </is>
      </c>
    </row>
    <row r="16">
      <c r="A16" s="2" t="n">
        <v>15</v>
      </c>
      <c r="B16" s="2" t="inlineStr">
        <is>
          <t>RETIRAR EQUIPAMENTOS</t>
        </is>
      </c>
      <c r="C16" s="2" t="inlineStr">
        <is>
          <t>Tela Especifica</t>
        </is>
      </c>
      <c r="D16" s="2" t="inlineStr">
        <is>
          <t>Tela_Substituicao_de_Equipamentos</t>
        </is>
      </c>
      <c r="E16" s="2" t="inlineStr">
        <is>
          <t>p$Verificar_Substituicao_de_Equipamentos</t>
        </is>
      </c>
      <c r="F16" s="2" t="inlineStr">
        <is>
          <t>-</t>
        </is>
      </c>
    </row>
    <row r="17">
      <c r="A17" s="2" t="n">
        <v>16</v>
      </c>
      <c r="B17" s="2" t="inlineStr">
        <is>
          <t>SUBSTITUICAO DE DISPLAY</t>
        </is>
      </c>
      <c r="C17" s="2" t="inlineStr">
        <is>
          <t>Tela Especifica</t>
        </is>
      </c>
      <c r="D17" s="2" t="inlineStr">
        <is>
          <t>Tela_Substituicao_de_Display</t>
        </is>
      </c>
      <c r="E17" s="2" t="inlineStr">
        <is>
          <t>p$Retorno_Substituicao_de_Display</t>
        </is>
      </c>
      <c r="F17" s="2" t="inlineStr">
        <is>
          <t>-</t>
        </is>
      </c>
    </row>
    <row r="18">
      <c r="A18" s="2" t="n">
        <v>17</v>
      </c>
      <c r="B18" s="2" t="inlineStr">
        <is>
          <t>INSTALACAO DO DISPLAY</t>
        </is>
      </c>
      <c r="C18" s="2" t="inlineStr">
        <is>
          <t>Tela Especifica</t>
        </is>
      </c>
      <c r="D18" s="2" t="inlineStr">
        <is>
          <t>Tela_Substituicao_de_Display</t>
        </is>
      </c>
      <c r="E18" s="2" t="inlineStr">
        <is>
          <t>p$Retorno_Instalacao_de_Display</t>
        </is>
      </c>
      <c r="F18" s="2" t="inlineStr">
        <is>
          <t>-</t>
        </is>
      </c>
    </row>
    <row r="19">
      <c r="A19" s="2" t="n">
        <v>18</v>
      </c>
      <c r="B19" s="2" t="inlineStr">
        <is>
          <t>INSPECAO UC CORTADA (I15)</t>
        </is>
      </c>
      <c r="C19" s="2" t="inlineStr">
        <is>
          <t>Tela Especifica</t>
        </is>
      </c>
      <c r="D19" s="2" t="inlineStr">
        <is>
          <t>Tela_Inspecao_UC_Cortada</t>
        </is>
      </c>
      <c r="E19" s="2" t="inlineStr">
        <is>
          <t>p$Retorno_Inspecao_de_UC_Cortada</t>
        </is>
      </c>
      <c r="F19" s="2" t="inlineStr">
        <is>
          <t>-</t>
        </is>
      </c>
    </row>
    <row r="20">
      <c r="A20" s="2" t="n">
        <v>19</v>
      </c>
      <c r="B20" s="2" t="inlineStr">
        <is>
          <t>INSPECAO UC CORTADA (I30)</t>
        </is>
      </c>
      <c r="C20" s="2" t="inlineStr">
        <is>
          <t>Tela Especifica</t>
        </is>
      </c>
      <c r="D20" s="2" t="inlineStr">
        <is>
          <t>Tela_Inspecao_UC_Cortada</t>
        </is>
      </c>
      <c r="E20" s="2" t="inlineStr">
        <is>
          <t>p$Retorno_Inspecao_de_UC_Cortada</t>
        </is>
      </c>
      <c r="F20" s="2" t="inlineStr">
        <is>
          <t>-</t>
        </is>
      </c>
    </row>
    <row r="21">
      <c r="A21" s="2" t="n">
        <v>20</v>
      </c>
      <c r="B21" s="2" t="inlineStr">
        <is>
          <t>INSPECAO UC CORTADA (I90)</t>
        </is>
      </c>
      <c r="C21" s="2" t="inlineStr">
        <is>
          <t>Tela Especifica</t>
        </is>
      </c>
      <c r="D21" s="2" t="inlineStr">
        <is>
          <t>Tela_Inspecao_UC_Cortada</t>
        </is>
      </c>
      <c r="E21" s="2" t="inlineStr">
        <is>
          <t>p$Retorno_Inspecao_de_UC_Cortada</t>
        </is>
      </c>
      <c r="F21" s="2" t="inlineStr">
        <is>
          <t>-</t>
        </is>
      </c>
    </row>
    <row r="22">
      <c r="A22" s="2" t="n">
        <v>21</v>
      </c>
      <c r="B22" s="2" t="inlineStr">
        <is>
          <t>INSPECAO UC CORTADA (I180)</t>
        </is>
      </c>
      <c r="C22" s="2" t="inlineStr">
        <is>
          <t>Tela Especifica</t>
        </is>
      </c>
      <c r="D22" s="2" t="inlineStr">
        <is>
          <t>Tela_Inspecao_UC_Cortada</t>
        </is>
      </c>
      <c r="E22" s="2" t="inlineStr">
        <is>
          <t>p$Retorno_Inspecao_de_UC_Cortada</t>
        </is>
      </c>
      <c r="F22" s="2" t="inlineStr">
        <is>
          <t>-</t>
        </is>
      </c>
    </row>
    <row r="23">
      <c r="A23" s="2" t="n">
        <v>22</v>
      </c>
      <c r="B23" s="2" t="inlineStr">
        <is>
          <t>CORTE POR FALTA DE PAGAMENTO</t>
        </is>
      </c>
      <c r="C23" s="2" t="inlineStr">
        <is>
          <t>Tela Especifica</t>
        </is>
      </c>
      <c r="D23" s="2" t="inlineStr">
        <is>
          <t>Tela_Corte_Por_Falta_de_Pagamento</t>
        </is>
      </c>
      <c r="E23" s="2" t="inlineStr">
        <is>
          <t>p$Retorno_Corte_Por_Falta_de_Pagamento</t>
        </is>
      </c>
      <c r="F23" s="2" t="inlineStr">
        <is>
          <t>-</t>
        </is>
      </c>
    </row>
    <row r="24">
      <c r="A24" s="2" t="n">
        <v>23</v>
      </c>
      <c r="B24" s="2" t="inlineStr">
        <is>
          <t>CORTE DE UC POR DEF TECNICO</t>
        </is>
      </c>
      <c r="C24" s="2" t="inlineStr">
        <is>
          <t>Tela Especifica</t>
        </is>
      </c>
      <c r="D24" s="2" t="inlineStr">
        <is>
          <t>Tela_Corte_de_UC_por_def_Tecnico</t>
        </is>
      </c>
      <c r="E24" s="2" t="inlineStr">
        <is>
          <t>p$Retorno_Corte_de_UC_Por_Def_Tecnico</t>
        </is>
      </c>
      <c r="F24" s="2" t="inlineStr">
        <is>
          <t>-</t>
        </is>
      </c>
    </row>
    <row r="25">
      <c r="A25" s="2" t="n">
        <v>24</v>
      </c>
      <c r="B25" s="2" t="inlineStr">
        <is>
          <t>DESLIG.PROG.MANUTENCAO</t>
        </is>
      </c>
      <c r="C25" s="2" t="inlineStr">
        <is>
          <t>Tela Especifica</t>
        </is>
      </c>
      <c r="D25" s="2" t="inlineStr">
        <is>
          <t>Tela_Desligamento_Programado</t>
        </is>
      </c>
      <c r="E25" s="2" t="inlineStr">
        <is>
          <t>p$Retorno_Desligamento_Programado</t>
        </is>
      </c>
      <c r="F25" s="2" t="inlineStr">
        <is>
          <t>-</t>
        </is>
      </c>
    </row>
    <row r="26">
      <c r="A26" s="4" t="n">
        <v>25</v>
      </c>
      <c r="B26" s="4" t="inlineStr">
        <is>
          <t>CORTE DEFINITIVO A PEDIDO</t>
        </is>
      </c>
      <c r="C26" s="4" t="inlineStr">
        <is>
          <t>Template Texto</t>
        </is>
      </c>
      <c r="D26" s="4" t="inlineStr">
        <is>
          <t>-</t>
        </is>
      </c>
      <c r="E26" s="4" t="inlineStr">
        <is>
          <t>-</t>
        </is>
      </c>
      <c r="F26" s="4" t="inlineStr">
        <is>
          <t>COLHIDO LEITURA VIA / RETIRADO MEDIDOR NC / CONJUNTO / TC / TP / REMOTA / PORTA / OBSERVACAO</t>
        </is>
      </c>
    </row>
    <row r="27">
      <c r="A27" s="4" t="n">
        <v>26</v>
      </c>
      <c r="B27" s="4" t="inlineStr">
        <is>
          <t>ADEQUACAO SMF</t>
        </is>
      </c>
      <c r="C27" s="4" t="inlineStr">
        <is>
          <t>Template Texto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DATA / HORARIO / GPS / MARCA / SINCRONISMO / IP / MASK / GW / CARGA / EQUIPE</t>
        </is>
      </c>
    </row>
    <row r="28">
      <c r="A28" s="4" t="n">
        <v>27</v>
      </c>
      <c r="B28" s="4" t="inlineStr">
        <is>
          <t>COLHER LEITURA</t>
        </is>
      </c>
      <c r="C28" s="4" t="inlineStr">
        <is>
          <t>Template Texto</t>
        </is>
      </c>
      <c r="D28" s="4" t="inlineStr">
        <is>
          <t>-</t>
        </is>
      </c>
      <c r="E28" s="4" t="inlineStr">
        <is>
          <t>-</t>
        </is>
      </c>
      <c r="F28" s="4" t="inlineStr">
        <is>
          <t>MEDIDOR SUBSTITUIDO / RETIRADO / INSTALADO / LEITURA / OBSERVACAO</t>
        </is>
      </c>
    </row>
    <row r="29">
      <c r="A29" s="4" t="n">
        <v>28</v>
      </c>
      <c r="B29" s="4" t="inlineStr">
        <is>
          <t>EXECUCAO DE MUDANCA DE TARIFA</t>
        </is>
      </c>
      <c r="C29" s="4" t="inlineStr">
        <is>
          <t>Template Texto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VERIFICACAO TELEMEDIÇÃO / MUDANCA DE TARIFA / OBSERVACAO</t>
        </is>
      </c>
    </row>
    <row r="30">
      <c r="A30" s="4" t="n">
        <v>29</v>
      </c>
      <c r="B30" s="4" t="inlineStr">
        <is>
          <t>GRANDES CLIENTES SEM MEDIÇÃO</t>
        </is>
      </c>
      <c r="C30" s="4" t="inlineStr">
        <is>
          <t>Template Texto</t>
        </is>
      </c>
      <c r="D30" s="4" t="inlineStr">
        <is>
          <t>-</t>
        </is>
      </c>
      <c r="E30" s="4" t="inlineStr">
        <is>
          <t>-</t>
        </is>
      </c>
      <c r="F30" s="4" t="inlineStr">
        <is>
          <t>TIPO MEDIÇÃO BY PASS / NOME RESPONSAVEL / CELULAR / FIXO / EMAIL / OBS</t>
        </is>
      </c>
    </row>
    <row r="31">
      <c r="A31" s="4" t="n">
        <v>30</v>
      </c>
      <c r="B31" s="4" t="inlineStr">
        <is>
          <t>GRANDES CLIENTES SELO ROMPIDO</t>
        </is>
      </c>
      <c r="C31" s="4" t="inlineStr">
        <is>
          <t>Template Texto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CONFORME INSPECAO</t>
        </is>
      </c>
    </row>
    <row r="32">
      <c r="A32" s="4" t="n">
        <v>31</v>
      </c>
      <c r="B32" s="4" t="inlineStr">
        <is>
          <t>LIBERACAO DE PULSO</t>
        </is>
      </c>
      <c r="C32" s="4" t="inlineStr">
        <is>
          <t>Template Texto</t>
        </is>
      </c>
      <c r="D32" s="4" t="inlineStr">
        <is>
          <t>-</t>
        </is>
      </c>
      <c r="E32" s="4" t="inlineStr">
        <is>
          <t>-</t>
        </is>
      </c>
      <c r="F32" s="4" t="inlineStr">
        <is>
          <t>ABERTURA DO QUADRO / OBSERVACAO</t>
        </is>
      </c>
    </row>
    <row r="33">
      <c r="A33" s="4" t="n">
        <v>32</v>
      </c>
      <c r="B33" s="4" t="inlineStr">
        <is>
          <t>RELIGACAO NORMAL RURAL</t>
        </is>
      </c>
      <c r="C33" s="4" t="inlineStr">
        <is>
          <t>Template Texto</t>
        </is>
      </c>
      <c r="D33" s="4" t="inlineStr">
        <is>
          <t>-</t>
        </is>
      </c>
      <c r="E33" s="4" t="inlineStr">
        <is>
          <t>-</t>
        </is>
      </c>
      <c r="F33" s="4" t="inlineStr">
        <is>
          <t>RELIGACAO EXECUTADA DIA / HORARIO</t>
        </is>
      </c>
    </row>
    <row r="34">
      <c r="A34" s="4" t="n">
        <v>33</v>
      </c>
      <c r="B34" s="4" t="inlineStr">
        <is>
          <t>RELIGACAO NORMAL URBANA</t>
        </is>
      </c>
      <c r="C34" s="4" t="inlineStr">
        <is>
          <t>Template Texto</t>
        </is>
      </c>
      <c r="D34" s="4" t="inlineStr">
        <is>
          <t>-</t>
        </is>
      </c>
      <c r="E34" s="4" t="inlineStr">
        <is>
          <t>-</t>
        </is>
      </c>
      <c r="F34" s="4" t="inlineStr">
        <is>
          <t>RELIGACAO EXECUTADA DIA / HORARIO</t>
        </is>
      </c>
    </row>
    <row r="35">
      <c r="A35" s="4" t="n">
        <v>34</v>
      </c>
      <c r="B35" s="4" t="inlineStr">
        <is>
          <t>RELIGACAO (RURAL/URBANA)</t>
        </is>
      </c>
      <c r="C35" s="4" t="inlineStr">
        <is>
          <t>Template Texto</t>
        </is>
      </c>
      <c r="D35" s="4" t="inlineStr">
        <is>
          <t>-</t>
        </is>
      </c>
      <c r="E35" s="4" t="inlineStr">
        <is>
          <t>-</t>
        </is>
      </c>
      <c r="F35" s="4" t="inlineStr">
        <is>
          <t>RELIGACAO EXECUTADA DIA / HORARIO</t>
        </is>
      </c>
    </row>
    <row r="36">
      <c r="A36" s="4" t="n">
        <v>35</v>
      </c>
      <c r="B36" s="4" t="inlineStr">
        <is>
          <t>RETIRAR RAMAL</t>
        </is>
      </c>
      <c r="C36" s="4" t="inlineStr">
        <is>
          <t>Template Texto</t>
        </is>
      </c>
      <c r="D36" s="4" t="inlineStr">
        <is>
          <t>-</t>
        </is>
      </c>
      <c r="E36" s="4" t="inlineStr">
        <is>
          <t>-</t>
        </is>
      </c>
      <c r="F36" s="4" t="inlineStr">
        <is>
          <t>CONJUNTO MEDIÇÃO CONTINUA / MEDIÇÃO EM BAIXO / RETIRADA VIÁVEL / OBS</t>
        </is>
      </c>
    </row>
    <row r="37">
      <c r="A37" s="4" t="n">
        <v>36</v>
      </c>
      <c r="B37" s="4" t="inlineStr">
        <is>
          <t>SERVICO ESPECIAL OPERACAO</t>
        </is>
      </c>
      <c r="C37" s="4" t="inlineStr">
        <is>
          <t>Template Texto</t>
        </is>
      </c>
      <c r="D37" s="4" t="inlineStr">
        <is>
          <t>-</t>
        </is>
      </c>
      <c r="E37" s="4" t="inlineStr">
        <is>
          <t>-</t>
        </is>
      </c>
      <c r="F37" s="4" t="inlineStr">
        <is>
          <t>CONFORME VISITA FOI REALIZADO</t>
        </is>
      </c>
    </row>
    <row r="38">
      <c r="A38" s="4" t="n">
        <v>37</v>
      </c>
      <c r="B38" s="4" t="inlineStr">
        <is>
          <t>SUBSTITUICAO DA BATERIA DO MEDIDOR</t>
        </is>
      </c>
      <c r="C38" s="4" t="inlineStr">
        <is>
          <t>Template Texto</t>
        </is>
      </c>
      <c r="D38" s="4" t="inlineStr">
        <is>
          <t>-</t>
        </is>
      </c>
      <c r="E38" s="4" t="inlineStr">
        <is>
          <t>-</t>
        </is>
      </c>
      <c r="F38" s="4" t="inlineStr">
        <is>
          <t>BATERIA DO MEDIDOR / OBSERVACAO</t>
        </is>
      </c>
    </row>
    <row r="39">
      <c r="A39" s="4" t="n">
        <v>38</v>
      </c>
      <c r="B39" s="4" t="inlineStr">
        <is>
          <t>SUBSTITUICAO DA BATERIA/MEDIDOR</t>
        </is>
      </c>
      <c r="C39" s="4" t="inlineStr">
        <is>
          <t>Template Texto</t>
        </is>
      </c>
      <c r="D39" s="4" t="inlineStr">
        <is>
          <t>-</t>
        </is>
      </c>
      <c r="E39" s="4" t="inlineStr">
        <is>
          <t>-</t>
        </is>
      </c>
      <c r="F39" s="4" t="inlineStr">
        <is>
          <t>BATERIA DO MEDIDOR / OBSERVACAO</t>
        </is>
      </c>
    </row>
    <row r="40">
      <c r="A40" s="5" t="n">
        <v>39</v>
      </c>
      <c r="B40" s="5" t="inlineStr">
        <is>
          <t>TELEMEDIÇÃO MANUTENCAO</t>
        </is>
      </c>
      <c r="C40" s="5" t="inlineStr">
        <is>
          <t>Template + Tela</t>
        </is>
      </c>
      <c r="D40" s="5" t="inlineStr">
        <is>
          <t>Tela_Telemedicao_Retirada + Instalada</t>
        </is>
      </c>
      <c r="E40" s="5" t="inlineStr">
        <is>
          <t>p$Verificar_Telemedicao_Retirada + Instalada</t>
        </is>
      </c>
      <c r="F40" s="5" t="inlineStr">
        <is>
          <t>REMOTA RETIRADA/INSTALADA / CHIP / OPERADORA / COMUNICACAO / LEITURA / OBS</t>
        </is>
      </c>
    </row>
    <row r="41">
      <c r="A41" s="5" t="n">
        <v>40</v>
      </c>
      <c r="B41" s="5" t="inlineStr">
        <is>
          <t>TELEMEDIÇÃO MANUTENCAO LOTE</t>
        </is>
      </c>
      <c r="C41" s="5" t="inlineStr">
        <is>
          <t>Template + Tela</t>
        </is>
      </c>
      <c r="D41" s="5" t="inlineStr">
        <is>
          <t>Tela_Telemedicao_Retirada + Instalada</t>
        </is>
      </c>
      <c r="E41" s="5" t="inlineStr">
        <is>
          <t>p$Verificar_Telemedicao_Retirada + Instalada</t>
        </is>
      </c>
      <c r="F41" s="5" t="inlineStr">
        <is>
          <t>REMOTA RETIRADA/INSTALADA / CHIP / OPERADORA / COMUNICACAO / LEITURA / OBS</t>
        </is>
      </c>
    </row>
    <row r="42">
      <c r="A42" s="3" t="n">
        <v>41</v>
      </c>
      <c r="B42" s="3" t="inlineStr">
        <is>
          <t>TELEMEDIÇÃO MANUTENCAO CLIENTE LIVRE</t>
        </is>
      </c>
      <c r="C42" s="3" t="inlineStr">
        <is>
          <t>Direto para Envio</t>
        </is>
      </c>
      <c r="D42" s="3" t="inlineStr">
        <is>
          <t>-</t>
        </is>
      </c>
      <c r="E42" s="3" t="inlineStr">
        <is>
          <t>-</t>
        </is>
      </c>
      <c r="F42" s="3" t="inlineStr">
        <is>
          <t>-</t>
        </is>
      </c>
    </row>
    <row r="43">
      <c r="A43" s="5" t="n">
        <v>42</v>
      </c>
      <c r="B43" s="5" t="inlineStr">
        <is>
          <t>TELEMEDIÇÃO MANUTENCAO/LOTE</t>
        </is>
      </c>
      <c r="C43" s="5" t="inlineStr">
        <is>
          <t>Template + Tela</t>
        </is>
      </c>
      <c r="D43" s="5" t="inlineStr">
        <is>
          <t>Tela_Telemedicao_Retirada + Instalada</t>
        </is>
      </c>
      <c r="E43" s="5" t="inlineStr">
        <is>
          <t>p$Verificar_Telemedicao_Retirada + Instalada</t>
        </is>
      </c>
      <c r="F43" s="5" t="inlineStr">
        <is>
          <t>REMOTA RETIRADA/INSTALADA / CHIP / OPERADORA / COMUNICACAO / LEITURA / OBS</t>
        </is>
      </c>
    </row>
    <row r="44">
      <c r="A44" s="4" t="n">
        <v>43</v>
      </c>
      <c r="B44" s="4" t="inlineStr">
        <is>
          <t>VISTORIA ACRESCIMO DECRESCIMO</t>
        </is>
      </c>
      <c r="C44" s="4" t="inlineStr">
        <is>
          <t>Template Texto</t>
        </is>
      </c>
      <c r="D44" s="4" t="inlineStr">
        <is>
          <t>-</t>
        </is>
      </c>
      <c r="E44" s="4" t="inlineStr">
        <is>
          <t>-</t>
        </is>
      </c>
      <c r="F44" s="4" t="inlineStr">
        <is>
          <t>MESMO RAMAL / MESMA MEDIÇÃO / LIBERADA / ALTERACOES SUBESTACAO / RESPONSAVEL / OBS</t>
        </is>
      </c>
    </row>
    <row r="45">
      <c r="A45" s="4" t="n">
        <v>44</v>
      </c>
      <c r="B45" s="4" t="inlineStr">
        <is>
          <t>VISTORIA DA UC</t>
        </is>
      </c>
      <c r="C45" s="4" t="inlineStr">
        <is>
          <t>Template Texto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OBSERVACAO</t>
        </is>
      </c>
    </row>
    <row r="46">
      <c r="A46" s="4" t="n">
        <v>45</v>
      </c>
      <c r="B46" s="4" t="inlineStr">
        <is>
          <t>VISTORIA GERAÇÃO DISTRIBUIDA</t>
        </is>
      </c>
      <c r="C46" s="4" t="inlineStr">
        <is>
          <t>Template Texto</t>
        </is>
      </c>
      <c r="D46" s="4" t="inlineStr">
        <is>
          <t>-</t>
        </is>
      </c>
      <c r="E46" s="4" t="inlineStr">
        <is>
          <t>-</t>
        </is>
      </c>
      <c r="F46" s="4" t="inlineStr">
        <is>
          <t>TIPO MEDIÇÃO / VISTORIA DE GERACAO</t>
        </is>
      </c>
    </row>
    <row r="47">
      <c r="A47" s="4" t="n">
        <v>46</v>
      </c>
      <c r="B47" s="4" t="inlineStr">
        <is>
          <t>VISTORIA PONTO DE ENTREGA CLIENTE</t>
        </is>
      </c>
      <c r="C47" s="4" t="inlineStr">
        <is>
          <t>Template Texto</t>
        </is>
      </c>
      <c r="D47" s="4" t="inlineStr">
        <is>
          <t>-</t>
        </is>
      </c>
      <c r="E47" s="4" t="inlineStr">
        <is>
          <t>-</t>
        </is>
      </c>
      <c r="F47" s="4" t="inlineStr">
        <is>
          <t>LIBERADA LIGACAO NOVA / OBRA / CONJUNTO MEDIÇÃO / PADRAO CUBICULO / RESPONSAVEL / OBS</t>
        </is>
      </c>
    </row>
    <row r="48">
      <c r="A48" s="4" t="n">
        <v>47</v>
      </c>
      <c r="B48" s="4" t="inlineStr">
        <is>
          <t>VISTORIA (ACRESCIMO/DECRESCIMO/DA UC/GERACAO/PONTO ENTREGA/MIGRACAO)</t>
        </is>
      </c>
      <c r="C48" s="4" t="inlineStr">
        <is>
          <t>Template Texto</t>
        </is>
      </c>
      <c r="D48" s="4" t="inlineStr">
        <is>
          <t>-</t>
        </is>
      </c>
      <c r="E48" s="4" t="inlineStr">
        <is>
          <t>-</t>
        </is>
      </c>
      <c r="F48" s="4" t="inlineStr">
        <is>
          <t>VARIOS TEMPLATES</t>
        </is>
      </c>
    </row>
    <row r="49">
      <c r="A49" s="3" t="n">
        <v>48</v>
      </c>
      <c r="B49" s="3" t="inlineStr">
        <is>
          <t>VISITA TECNICA GRUPO A</t>
        </is>
      </c>
      <c r="C49" s="3" t="inlineStr">
        <is>
          <t>Direto para Envio</t>
        </is>
      </c>
      <c r="D49" s="3" t="inlineStr">
        <is>
          <t>-</t>
        </is>
      </c>
      <c r="E49" s="3" t="inlineStr">
        <is>
          <t>-</t>
        </is>
      </c>
      <c r="F49" s="3" t="inlineStr">
        <is>
          <t>-</t>
        </is>
      </c>
    </row>
    <row r="50">
      <c r="A50" s="4" t="n">
        <v>49</v>
      </c>
      <c r="B50" s="4" t="inlineStr">
        <is>
          <t>VISITA TECNICA MIGRACAO</t>
        </is>
      </c>
      <c r="C50" s="4" t="inlineStr">
        <is>
          <t>Template Texto</t>
        </is>
      </c>
      <c r="D50" s="4" t="inlineStr">
        <is>
          <t>-</t>
        </is>
      </c>
      <c r="E50" s="4" t="inlineStr">
        <is>
          <t>-</t>
        </is>
      </c>
      <c r="F50" s="4" t="inlineStr">
        <is>
          <t>CONFORME VISITA MIGRACAO / DIA / HORARIO / EQUIPE</t>
        </is>
      </c>
    </row>
    <row r="51">
      <c r="A51" s="3" t="n">
        <v>50</v>
      </c>
      <c r="B51" s="3" t="inlineStr">
        <is>
          <t>DESLOCAMENTO DE SUBESTACAO</t>
        </is>
      </c>
      <c r="C51" s="3" t="inlineStr">
        <is>
          <t>Direto para Envio</t>
        </is>
      </c>
      <c r="D51" s="3" t="inlineStr">
        <is>
          <t>-</t>
        </is>
      </c>
      <c r="E51" s="3" t="inlineStr">
        <is>
          <t>-</t>
        </is>
      </c>
      <c r="F51" s="3" t="inlineStr">
        <is>
          <t>-</t>
        </is>
      </c>
    </row>
  </sheetData>
  <autoFilter ref="A1:F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40" customWidth="1" min="3" max="3"/>
    <col width="15" customWidth="1" min="4" max="4"/>
    <col width="15" customWidth="1" min="5" max="5"/>
    <col width="55" customWidth="1" min="6" max="6"/>
  </cols>
  <sheetData>
    <row r="1">
      <c r="A1" s="1" t="inlineStr">
        <is>
          <t>Grupo / Tipo de Ordem</t>
        </is>
      </c>
      <c r="B1" s="1" t="inlineStr">
        <is>
          <t>Campo</t>
        </is>
      </c>
      <c r="C1" s="1" t="inlineStr">
        <is>
          <t>ID Componente</t>
        </is>
      </c>
      <c r="D1" s="1" t="inlineStr">
        <is>
          <t>Tipo Componente</t>
        </is>
      </c>
      <c r="E1" s="1" t="inlineStr">
        <is>
          <t>Obrigatorio</t>
        </is>
      </c>
      <c r="F1" s="1" t="inlineStr">
        <is>
          <t>Observacoes</t>
        </is>
      </c>
    </row>
    <row r="2">
      <c r="A2" s="6">
        <f>== CAMPOS COMUNS (todos os tipos) ===</f>
        <v/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CAMPOS COMUNS</t>
        </is>
      </c>
      <c r="B3" s="7" t="inlineStr">
        <is>
          <t>Tipo de Ordem</t>
        </is>
      </c>
      <c r="C3" s="7" t="inlineStr">
        <is>
          <t>Ls_Tipo_de_ordem</t>
        </is>
      </c>
      <c r="D3" s="7" t="inlineStr">
        <is>
          <t>Spinner</t>
        </is>
      </c>
      <c r="E3" s="7" t="inlineStr">
        <is>
          <t>Sim</t>
        </is>
      </c>
      <c r="F3" s="7" t="inlineStr">
        <is>
          <t>50 opcoes</t>
        </is>
      </c>
    </row>
    <row r="4">
      <c r="A4" s="7" t="inlineStr">
        <is>
          <t>CAMPOS COMUNS</t>
        </is>
      </c>
      <c r="B4" s="7" t="inlineStr">
        <is>
          <t>Cliente</t>
        </is>
      </c>
      <c r="C4" s="7" t="inlineStr">
        <is>
          <t>Ls_Cliente</t>
        </is>
      </c>
      <c r="D4" s="7" t="inlineStr">
        <is>
          <t>Spinner</t>
        </is>
      </c>
      <c r="E4" s="7" t="inlineStr">
        <is>
          <t>Sim</t>
        </is>
      </c>
      <c r="F4" s="7" t="inlineStr">
        <is>
          <t>~130+ clientes</t>
        </is>
      </c>
    </row>
    <row r="5">
      <c r="A5" s="7" t="inlineStr">
        <is>
          <t>CAMPOS COMUNS</t>
        </is>
      </c>
      <c r="B5" s="7" t="inlineStr">
        <is>
          <t>Ordem</t>
        </is>
      </c>
      <c r="C5" s="7" t="inlineStr">
        <is>
          <t>Txt_Ordem</t>
        </is>
      </c>
      <c r="D5" s="7" t="inlineStr">
        <is>
          <t>TextBox</t>
        </is>
      </c>
      <c r="E5" s="7" t="inlineStr">
        <is>
          <t>Sim</t>
        </is>
      </c>
      <c r="F5" s="7" t="inlineStr">
        <is>
          <t>Numero da ordem</t>
        </is>
      </c>
    </row>
    <row r="6">
      <c r="A6" s="7" t="inlineStr">
        <is>
          <t>CAMPOS COMUNS</t>
        </is>
      </c>
      <c r="B6" s="7" t="inlineStr">
        <is>
          <t>UC</t>
        </is>
      </c>
      <c r="C6" s="7" t="inlineStr">
        <is>
          <t>Txt_UC</t>
        </is>
      </c>
      <c r="D6" s="7" t="inlineStr">
        <is>
          <t>TextBox</t>
        </is>
      </c>
      <c r="E6" s="7" t="inlineStr">
        <is>
          <t>Sim</t>
        </is>
      </c>
      <c r="F6" s="7" t="inlineStr">
        <is>
          <t>Unidade consumidora</t>
        </is>
      </c>
    </row>
    <row r="7">
      <c r="A7" s="7" t="inlineStr">
        <is>
          <t>CAMPOS COMUNS</t>
        </is>
      </c>
      <c r="B7" s="7" t="inlineStr">
        <is>
          <t>Municipio</t>
        </is>
      </c>
      <c r="C7" s="7" t="inlineStr">
        <is>
          <t>Ls_Municipio</t>
        </is>
      </c>
      <c r="D7" s="7" t="inlineStr">
        <is>
          <t>Spinner</t>
        </is>
      </c>
      <c r="E7" s="7" t="inlineStr">
        <is>
          <t>Sim</t>
        </is>
      </c>
      <c r="F7" s="7" t="inlineStr">
        <is>
          <t>Lista de municipios</t>
        </is>
      </c>
    </row>
    <row r="8">
      <c r="A8" s="7" t="inlineStr">
        <is>
          <t>CAMPOS COMUNS</t>
        </is>
      </c>
      <c r="B8" s="7" t="inlineStr">
        <is>
          <t>APR</t>
        </is>
      </c>
      <c r="C8" s="7" t="inlineStr">
        <is>
          <t>Txt_APR</t>
        </is>
      </c>
      <c r="D8" s="7" t="inlineStr">
        <is>
          <t>TextBox</t>
        </is>
      </c>
      <c r="E8" s="7" t="inlineStr">
        <is>
          <t>Nao</t>
        </is>
      </c>
      <c r="F8" s="7" t="inlineStr">
        <is>
          <t>Numero APR</t>
        </is>
      </c>
    </row>
    <row r="9">
      <c r="A9" s="7" t="inlineStr">
        <is>
          <t>CAMPOS COMUNS</t>
        </is>
      </c>
      <c r="B9" s="7" t="inlineStr">
        <is>
          <t>PRE APR</t>
        </is>
      </c>
      <c r="C9" s="7" t="inlineStr">
        <is>
          <t>Txt_PRE_APR</t>
        </is>
      </c>
      <c r="D9" s="7" t="inlineStr">
        <is>
          <t>TextBox</t>
        </is>
      </c>
      <c r="E9" s="7" t="inlineStr">
        <is>
          <t>Nao</t>
        </is>
      </c>
      <c r="F9" s="7" t="inlineStr">
        <is>
          <t>Numero PRE APR</t>
        </is>
      </c>
    </row>
    <row r="10">
      <c r="A10" s="7" t="inlineStr">
        <is>
          <t>CAMPOS COMUNS</t>
        </is>
      </c>
      <c r="B10" s="7" t="inlineStr">
        <is>
          <t>Notificado</t>
        </is>
      </c>
      <c r="C10" s="7" t="inlineStr">
        <is>
          <t>Ls_Notificado</t>
        </is>
      </c>
      <c r="D10" s="7" t="inlineStr">
        <is>
          <t>Spinner</t>
        </is>
      </c>
      <c r="E10" s="7" t="inlineStr">
        <is>
          <t>Nao</t>
        </is>
      </c>
      <c r="F10" s="7" t="inlineStr">
        <is>
          <t>Status de notificacao</t>
        </is>
      </c>
    </row>
    <row r="11">
      <c r="A11" s="7" t="inlineStr">
        <is>
          <t>CAMPOS COMUNS</t>
        </is>
      </c>
      <c r="B11" s="7" t="inlineStr">
        <is>
          <t>Muck B&amp;Q</t>
        </is>
      </c>
      <c r="C11" s="7" t="inlineStr">
        <is>
          <t>Txt_Muck_BQ</t>
        </is>
      </c>
      <c r="D11" s="7" t="inlineStr">
        <is>
          <t>TextBox</t>
        </is>
      </c>
      <c r="E11" s="7" t="inlineStr">
        <is>
          <t>Nao</t>
        </is>
      </c>
      <c r="F11" s="7" t="inlineStr">
        <is>
          <t>Muck B&amp;Q</t>
        </is>
      </c>
    </row>
    <row r="12">
      <c r="A12" s="7" t="inlineStr">
        <is>
          <t>CAMPOS COMUNS</t>
        </is>
      </c>
      <c r="B12" s="7" t="inlineStr">
        <is>
          <t>Placa</t>
        </is>
      </c>
      <c r="C12" s="7" t="inlineStr">
        <is>
          <t>Txt_Placa</t>
        </is>
      </c>
      <c r="D12" s="7" t="inlineStr">
        <is>
          <t>TextBox</t>
        </is>
      </c>
      <c r="E12" s="7" t="inlineStr">
        <is>
          <t>Nao</t>
        </is>
      </c>
      <c r="F12" s="7" t="inlineStr">
        <is>
          <t>Placa do veiculo</t>
        </is>
      </c>
    </row>
    <row r="13">
      <c r="A13" s="7" t="inlineStr">
        <is>
          <t>CAMPOS COMUNS</t>
        </is>
      </c>
      <c r="B13" s="7" t="inlineStr">
        <is>
          <t>Tecnicos</t>
        </is>
      </c>
      <c r="C13" s="7" t="inlineStr">
        <is>
          <t>Txt_Tecnicos</t>
        </is>
      </c>
      <c r="D13" s="7" t="inlineStr">
        <is>
          <t>TextBox</t>
        </is>
      </c>
      <c r="E13" s="7" t="inlineStr">
        <is>
          <t>Nao</t>
        </is>
      </c>
      <c r="F13" s="7" t="inlineStr">
        <is>
          <t>Nome dos tecnicos</t>
        </is>
      </c>
    </row>
    <row r="14">
      <c r="A14" s="7" t="inlineStr">
        <is>
          <t>CAMPOS COMUNS</t>
        </is>
      </c>
      <c r="B14" s="7" t="inlineStr">
        <is>
          <t>Data/Hora</t>
        </is>
      </c>
      <c r="C14" s="7" t="inlineStr">
        <is>
          <t>Txt_Data_Hora</t>
        </is>
      </c>
      <c r="D14" s="7" t="inlineStr">
        <is>
          <t>TextBox</t>
        </is>
      </c>
      <c r="E14" s="7" t="inlineStr">
        <is>
          <t>Auto</t>
        </is>
      </c>
      <c r="F14" s="7" t="inlineStr">
        <is>
          <t>Preenchido automaticamente</t>
        </is>
      </c>
    </row>
    <row r="15">
      <c r="A15" s="7" t="inlineStr">
        <is>
          <t>CAMPOS COMUNS</t>
        </is>
      </c>
      <c r="B15" s="7" t="inlineStr">
        <is>
          <t>Observacao</t>
        </is>
      </c>
      <c r="C15" s="7" t="inlineStr">
        <is>
          <t>Txt_Observacao</t>
        </is>
      </c>
      <c r="D15" s="7" t="inlineStr">
        <is>
          <t>TextBox</t>
        </is>
      </c>
      <c r="E15" s="7" t="inlineStr">
        <is>
          <t>Nao</t>
        </is>
      </c>
      <c r="F15" s="7" t="inlineStr">
        <is>
          <t>Observacao geral</t>
        </is>
      </c>
    </row>
    <row r="16">
      <c r="A16" s="7" t="inlineStr">
        <is>
          <t>CAMPOS COMUNS</t>
        </is>
      </c>
      <c r="B16" s="7" t="inlineStr">
        <is>
          <t>Retorno</t>
        </is>
      </c>
      <c r="C16" s="7" t="inlineStr">
        <is>
          <t>Txt_Retorno</t>
        </is>
      </c>
      <c r="D16" s="7" t="inlineStr">
        <is>
          <t>TextBox</t>
        </is>
      </c>
      <c r="E16" s="7" t="inlineStr">
        <is>
          <t>Auto</t>
        </is>
      </c>
      <c r="F16" s="7" t="inlineStr">
        <is>
          <t>Preenchido automaticamente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s="6">
        <f>== GRUPO: LIGACAO NOVA ===</f>
        <v/>
      </c>
      <c r="B18" s="6" t="inlineStr"/>
      <c r="C18" s="6" t="inlineStr"/>
      <c r="D18" s="6" t="inlineStr"/>
      <c r="E18" s="6" t="inlineStr"/>
      <c r="F18" s="6" t="inlineStr"/>
    </row>
    <row r="19">
      <c r="A19" s="7" t="inlineStr">
        <is>
          <t>LIGACAO NOVA SIMULTANEA</t>
        </is>
      </c>
      <c r="B19" s="7" t="inlineStr">
        <is>
          <t>Tombamento</t>
        </is>
      </c>
      <c r="C19" s="7" t="inlineStr">
        <is>
          <t>Txt_Tombamento</t>
        </is>
      </c>
      <c r="D19" s="7" t="inlineStr">
        <is>
          <t>TextBox</t>
        </is>
      </c>
      <c r="E19" s="7" t="inlineStr">
        <is>
          <t>Sim</t>
        </is>
      </c>
      <c r="F19" s="7" t="inlineStr"/>
    </row>
    <row r="20">
      <c r="A20" s="7" t="inlineStr">
        <is>
          <t>LIGACAO NOVA SIMULTANEA</t>
        </is>
      </c>
      <c r="B20" s="7" t="inlineStr">
        <is>
          <t>Coordenada X</t>
        </is>
      </c>
      <c r="C20" s="7" t="inlineStr">
        <is>
          <t>Txt_COORD_X</t>
        </is>
      </c>
      <c r="D20" s="7" t="inlineStr">
        <is>
          <t>TextBox</t>
        </is>
      </c>
      <c r="E20" s="7" t="inlineStr">
        <is>
          <t>Sim</t>
        </is>
      </c>
      <c r="F20" s="7" t="inlineStr"/>
    </row>
    <row r="21">
      <c r="A21" s="7" t="inlineStr">
        <is>
          <t>LIGACAO NOVA SIMULTANEA</t>
        </is>
      </c>
      <c r="B21" s="7" t="inlineStr">
        <is>
          <t>Coordenada Y</t>
        </is>
      </c>
      <c r="C21" s="7" t="inlineStr">
        <is>
          <t>Txt_COORD_Y</t>
        </is>
      </c>
      <c r="D21" s="7" t="inlineStr">
        <is>
          <t>TextBox</t>
        </is>
      </c>
      <c r="E21" s="7" t="inlineStr">
        <is>
          <t>Sim</t>
        </is>
      </c>
      <c r="F21" s="7" t="inlineStr"/>
    </row>
    <row r="22">
      <c r="A22" s="7" t="inlineStr">
        <is>
          <t>LIGACAO NOVA SIMULTANEA</t>
        </is>
      </c>
      <c r="B22" s="7" t="inlineStr">
        <is>
          <t>Qtde Medidor BT</t>
        </is>
      </c>
      <c r="C22" s="7" t="inlineStr">
        <is>
          <t>Ls_Qtde_Medididor_BT</t>
        </is>
      </c>
      <c r="D22" s="7" t="inlineStr">
        <is>
          <t>Spinner</t>
        </is>
      </c>
      <c r="E22" s="7" t="inlineStr">
        <is>
          <t>Sim</t>
        </is>
      </c>
      <c r="F22" s="7" t="inlineStr">
        <is>
          <t>Opcoes: 1, 2, 3, 4</t>
        </is>
      </c>
    </row>
    <row r="23">
      <c r="A23" s="7" t="inlineStr">
        <is>
          <t>LIGACAO NOVA SIMULTANEA</t>
        </is>
      </c>
      <c r="B23" s="7" t="inlineStr">
        <is>
          <t>Medidor BT Retirado/Cortado</t>
        </is>
      </c>
      <c r="C23" s="7" t="inlineStr">
        <is>
          <t>Ls_Medididor_BT_Retirado_ou_Cortado</t>
        </is>
      </c>
      <c r="D23" s="7" t="inlineStr">
        <is>
          <t>Spinner</t>
        </is>
      </c>
      <c r="E23" s="7" t="inlineStr">
        <is>
          <t>Sim</t>
        </is>
      </c>
      <c r="F23" s="7" t="inlineStr">
        <is>
          <t>Opcoes: SIM, NAO</t>
        </is>
      </c>
    </row>
    <row r="24">
      <c r="A24" s="7" t="inlineStr">
        <is>
          <t>LIGACAO NOVA SIMULTANEA</t>
        </is>
      </c>
      <c r="B24" s="7" t="inlineStr">
        <is>
          <t>Ligacao Executada</t>
        </is>
      </c>
      <c r="C24" s="7" t="inlineStr">
        <is>
          <t>Ls_Ligacao_Executada</t>
        </is>
      </c>
      <c r="D24" s="7" t="inlineStr">
        <is>
          <t>Spinner</t>
        </is>
      </c>
      <c r="E24" s="7" t="inlineStr">
        <is>
          <t>Sim</t>
        </is>
      </c>
      <c r="F24" s="7" t="inlineStr">
        <is>
          <t>Opcoes: SIM, NAO</t>
        </is>
      </c>
    </row>
    <row r="25">
      <c r="A25" s="7" t="inlineStr">
        <is>
          <t>LIGACAO NOVA ISOLADA</t>
        </is>
      </c>
      <c r="B25" s="7" t="inlineStr">
        <is>
          <t>Tombamento</t>
        </is>
      </c>
      <c r="C25" s="7" t="inlineStr">
        <is>
          <t>Txt_Tombamento</t>
        </is>
      </c>
      <c r="D25" s="7" t="inlineStr">
        <is>
          <t>TextBox</t>
        </is>
      </c>
      <c r="E25" s="7" t="inlineStr">
        <is>
          <t>Sim</t>
        </is>
      </c>
      <c r="F25" s="7" t="inlineStr"/>
    </row>
    <row r="26">
      <c r="A26" s="7" t="inlineStr">
        <is>
          <t>LIGACAO NOVA ISOLADA</t>
        </is>
      </c>
      <c r="B26" s="7" t="inlineStr">
        <is>
          <t>Coordenada X</t>
        </is>
      </c>
      <c r="C26" s="7" t="inlineStr">
        <is>
          <t>Txt_COORD_X</t>
        </is>
      </c>
      <c r="D26" s="7" t="inlineStr">
        <is>
          <t>TextBox</t>
        </is>
      </c>
      <c r="E26" s="7" t="inlineStr">
        <is>
          <t>Sim</t>
        </is>
      </c>
      <c r="F26" s="7" t="inlineStr"/>
    </row>
    <row r="27">
      <c r="A27" s="7" t="inlineStr">
        <is>
          <t>LIGACAO NOVA ISOLADA</t>
        </is>
      </c>
      <c r="B27" s="7" t="inlineStr">
        <is>
          <t>Coordenada Y</t>
        </is>
      </c>
      <c r="C27" s="7" t="inlineStr">
        <is>
          <t>Txt_COORD_Y</t>
        </is>
      </c>
      <c r="D27" s="7" t="inlineStr">
        <is>
          <t>TextBox</t>
        </is>
      </c>
      <c r="E27" s="7" t="inlineStr">
        <is>
          <t>Sim</t>
        </is>
      </c>
      <c r="F27" s="7" t="inlineStr"/>
    </row>
    <row r="28">
      <c r="A28" s="7" t="inlineStr">
        <is>
          <t>LIGACAO NOVA ISOLADA</t>
        </is>
      </c>
      <c r="B28" s="7" t="inlineStr">
        <is>
          <t>Qtde Medidor BT</t>
        </is>
      </c>
      <c r="C28" s="7" t="inlineStr">
        <is>
          <t>Ls_Qtde_Medididor_BT</t>
        </is>
      </c>
      <c r="D28" s="7" t="inlineStr">
        <is>
          <t>Spinner</t>
        </is>
      </c>
      <c r="E28" s="7" t="inlineStr">
        <is>
          <t>Sim</t>
        </is>
      </c>
      <c r="F28" s="7" t="inlineStr">
        <is>
          <t>Opcoes: 1, 2, 3, 4</t>
        </is>
      </c>
    </row>
    <row r="29">
      <c r="A29" s="7" t="inlineStr">
        <is>
          <t>LIGACAO NOVA ISOLADA</t>
        </is>
      </c>
      <c r="B29" s="7" t="inlineStr">
        <is>
          <t>Medidor BT Retirado/Cortado</t>
        </is>
      </c>
      <c r="C29" s="7" t="inlineStr">
        <is>
          <t>Ls_Medididor_BT_Retirado_ou_Cortado</t>
        </is>
      </c>
      <c r="D29" s="7" t="inlineStr">
        <is>
          <t>Spinner</t>
        </is>
      </c>
      <c r="E29" s="7" t="inlineStr">
        <is>
          <t>Sim</t>
        </is>
      </c>
      <c r="F29" s="7" t="inlineStr">
        <is>
          <t>Opcoes: SIM, NAO</t>
        </is>
      </c>
    </row>
    <row r="30">
      <c r="A30" s="7" t="inlineStr">
        <is>
          <t>LIGACAO NOVA ISOLADA</t>
        </is>
      </c>
      <c r="B30" s="7" t="inlineStr">
        <is>
          <t>Ligacao Executada</t>
        </is>
      </c>
      <c r="C30" s="7" t="inlineStr">
        <is>
          <t>Ls_Ligacao_Executada</t>
        </is>
      </c>
      <c r="D30" s="7" t="inlineStr">
        <is>
          <t>Spinner</t>
        </is>
      </c>
      <c r="E30" s="7" t="inlineStr">
        <is>
          <t>Sim</t>
        </is>
      </c>
      <c r="F30" s="7" t="inlineStr">
        <is>
          <t>Opcoes: SIM, NAO</t>
        </is>
      </c>
    </row>
    <row r="31">
      <c r="A31" s="7" t="inlineStr">
        <is>
          <t>LIGACAO NOVA (SIMULTANEA/ISOLADA/MT)</t>
        </is>
      </c>
      <c r="B31" s="7" t="inlineStr">
        <is>
          <t>Tombamento</t>
        </is>
      </c>
      <c r="C31" s="7" t="inlineStr">
        <is>
          <t>Txt_Tombamento</t>
        </is>
      </c>
      <c r="D31" s="7" t="inlineStr">
        <is>
          <t>TextBox</t>
        </is>
      </c>
      <c r="E31" s="7" t="inlineStr">
        <is>
          <t>Sim</t>
        </is>
      </c>
      <c r="F31" s="7" t="inlineStr"/>
    </row>
    <row r="32">
      <c r="A32" s="7" t="inlineStr">
        <is>
          <t>LIGACAO NOVA (SIMULTANEA/ISOLADA/MT)</t>
        </is>
      </c>
      <c r="B32" s="7" t="inlineStr">
        <is>
          <t>Coordenada X</t>
        </is>
      </c>
      <c r="C32" s="7" t="inlineStr">
        <is>
          <t>Txt_COORD_X</t>
        </is>
      </c>
      <c r="D32" s="7" t="inlineStr">
        <is>
          <t>TextBox</t>
        </is>
      </c>
      <c r="E32" s="7" t="inlineStr">
        <is>
          <t>Sim</t>
        </is>
      </c>
      <c r="F32" s="7" t="inlineStr"/>
    </row>
    <row r="33">
      <c r="A33" s="7" t="inlineStr">
        <is>
          <t>LIGACAO NOVA (SIMULTANEA/ISOLADA/MT)</t>
        </is>
      </c>
      <c r="B33" s="7" t="inlineStr">
        <is>
          <t>Coordenada Y</t>
        </is>
      </c>
      <c r="C33" s="7" t="inlineStr">
        <is>
          <t>Txt_COORD_Y</t>
        </is>
      </c>
      <c r="D33" s="7" t="inlineStr">
        <is>
          <t>TextBox</t>
        </is>
      </c>
      <c r="E33" s="7" t="inlineStr">
        <is>
          <t>Sim</t>
        </is>
      </c>
      <c r="F33" s="7" t="inlineStr"/>
    </row>
    <row r="34">
      <c r="A34" s="7" t="inlineStr">
        <is>
          <t>LIGACAO NOVA (SIMULTANEA/ISOLADA/MT)</t>
        </is>
      </c>
      <c r="B34" s="7" t="inlineStr">
        <is>
          <t>Qtde Medidor BT</t>
        </is>
      </c>
      <c r="C34" s="7" t="inlineStr">
        <is>
          <t>Ls_Qtde_Medididor_BT</t>
        </is>
      </c>
      <c r="D34" s="7" t="inlineStr">
        <is>
          <t>Spinner</t>
        </is>
      </c>
      <c r="E34" s="7" t="inlineStr">
        <is>
          <t>Sim</t>
        </is>
      </c>
      <c r="F34" s="7" t="inlineStr">
        <is>
          <t>Opcoes: 1, 2, 3, 4</t>
        </is>
      </c>
    </row>
    <row r="35">
      <c r="A35" s="7" t="inlineStr">
        <is>
          <t>LIGACAO NOVA (SIMULTANEA/ISOLADA/MT)</t>
        </is>
      </c>
      <c r="B35" s="7" t="inlineStr">
        <is>
          <t>Medidor BT Retirado/Cortado</t>
        </is>
      </c>
      <c r="C35" s="7" t="inlineStr">
        <is>
          <t>Ls_Medididor_BT_Retirado_ou_Cortado</t>
        </is>
      </c>
      <c r="D35" s="7" t="inlineStr">
        <is>
          <t>Spinner</t>
        </is>
      </c>
      <c r="E35" s="7" t="inlineStr">
        <is>
          <t>Sim</t>
        </is>
      </c>
      <c r="F35" s="7" t="inlineStr">
        <is>
          <t>Opcoes: SIM, NAO</t>
        </is>
      </c>
    </row>
    <row r="36">
      <c r="A36" s="7" t="inlineStr">
        <is>
          <t>LIGACAO NOVA (SIMULTANEA/ISOLADA/MT)</t>
        </is>
      </c>
      <c r="B36" s="7" t="inlineStr">
        <is>
          <t>Ligacao Executada</t>
        </is>
      </c>
      <c r="C36" s="7" t="inlineStr">
        <is>
          <t>Ls_Ligacao_Executada</t>
        </is>
      </c>
      <c r="D36" s="7" t="inlineStr">
        <is>
          <t>Spinner</t>
        </is>
      </c>
      <c r="E36" s="7" t="inlineStr">
        <is>
          <t>Sim</t>
        </is>
      </c>
      <c r="F36" s="7" t="inlineStr">
        <is>
          <t>Opcoes: SIM, NAO</t>
        </is>
      </c>
    </row>
    <row r="37">
      <c r="A37" s="7" t="inlineStr">
        <is>
          <t>ET: LIGACAO - LIGACAO NOVA MEDIA TENSAO</t>
        </is>
      </c>
      <c r="B37" s="7" t="inlineStr">
        <is>
          <t>Tombamento</t>
        </is>
      </c>
      <c r="C37" s="7" t="inlineStr">
        <is>
          <t>Txt_Tombamento</t>
        </is>
      </c>
      <c r="D37" s="7" t="inlineStr">
        <is>
          <t>TextBox</t>
        </is>
      </c>
      <c r="E37" s="7" t="inlineStr">
        <is>
          <t>Sim</t>
        </is>
      </c>
      <c r="F37" s="7" t="inlineStr"/>
    </row>
    <row r="38">
      <c r="A38" s="7" t="inlineStr">
        <is>
          <t>ET: LIGACAO - LIGACAO NOVA MEDIA TENSAO</t>
        </is>
      </c>
      <c r="B38" s="7" t="inlineStr">
        <is>
          <t>Coordenada X</t>
        </is>
      </c>
      <c r="C38" s="7" t="inlineStr">
        <is>
          <t>Txt_COORD_X</t>
        </is>
      </c>
      <c r="D38" s="7" t="inlineStr">
        <is>
          <t>TextBox</t>
        </is>
      </c>
      <c r="E38" s="7" t="inlineStr">
        <is>
          <t>Sim</t>
        </is>
      </c>
      <c r="F38" s="7" t="inlineStr"/>
    </row>
    <row r="39">
      <c r="A39" s="7" t="inlineStr">
        <is>
          <t>ET: LIGACAO - LIGACAO NOVA MEDIA TENSAO</t>
        </is>
      </c>
      <c r="B39" s="7" t="inlineStr">
        <is>
          <t>Coordenada Y</t>
        </is>
      </c>
      <c r="C39" s="7" t="inlineStr">
        <is>
          <t>Txt_COORD_Y</t>
        </is>
      </c>
      <c r="D39" s="7" t="inlineStr">
        <is>
          <t>TextBox</t>
        </is>
      </c>
      <c r="E39" s="7" t="inlineStr">
        <is>
          <t>Sim</t>
        </is>
      </c>
      <c r="F39" s="7" t="inlineStr"/>
    </row>
    <row r="40">
      <c r="A40" s="7" t="inlineStr">
        <is>
          <t>ET: LIGACAO - LIGACAO NOVA MEDIA TENSAO</t>
        </is>
      </c>
      <c r="B40" s="7" t="inlineStr">
        <is>
          <t>Qtde Medidor BT</t>
        </is>
      </c>
      <c r="C40" s="7" t="inlineStr">
        <is>
          <t>Ls_Qtde_Medididor_BT</t>
        </is>
      </c>
      <c r="D40" s="7" t="inlineStr">
        <is>
          <t>Spinner</t>
        </is>
      </c>
      <c r="E40" s="7" t="inlineStr">
        <is>
          <t>Sim</t>
        </is>
      </c>
      <c r="F40" s="7" t="inlineStr">
        <is>
          <t>Opcoes: 1, 2, 3, 4</t>
        </is>
      </c>
    </row>
    <row r="41">
      <c r="A41" s="7" t="inlineStr">
        <is>
          <t>ET: LIGACAO - LIGACAO NOVA MEDIA TENSAO</t>
        </is>
      </c>
      <c r="B41" s="7" t="inlineStr">
        <is>
          <t>Medidor BT Retirado/Cortado</t>
        </is>
      </c>
      <c r="C41" s="7" t="inlineStr">
        <is>
          <t>Ls_Medididor_BT_Retirado_ou_Cortado</t>
        </is>
      </c>
      <c r="D41" s="7" t="inlineStr">
        <is>
          <t>Spinner</t>
        </is>
      </c>
      <c r="E41" s="7" t="inlineStr">
        <is>
          <t>Sim</t>
        </is>
      </c>
      <c r="F41" s="7" t="inlineStr">
        <is>
          <t>Opcoes: SIM, NAO</t>
        </is>
      </c>
    </row>
    <row r="42">
      <c r="A42" s="7" t="inlineStr">
        <is>
          <t>ET: LIGACAO - LIGACAO NOVA MEDIA TENSAO</t>
        </is>
      </c>
      <c r="B42" s="7" t="inlineStr">
        <is>
          <t>Ligacao Executada</t>
        </is>
      </c>
      <c r="C42" s="7" t="inlineStr">
        <is>
          <t>Ls_Ligacao_Executada</t>
        </is>
      </c>
      <c r="D42" s="7" t="inlineStr">
        <is>
          <t>Spinner</t>
        </is>
      </c>
      <c r="E42" s="7" t="inlineStr">
        <is>
          <t>Sim</t>
        </is>
      </c>
      <c r="F42" s="7" t="inlineStr">
        <is>
          <t>Opcoes: SIM, NAO</t>
        </is>
      </c>
    </row>
    <row r="43">
      <c r="A43" s="7" t="inlineStr">
        <is>
          <t>ET: EXECUCAO - LIGACAO NOVA MEDIA TENSAO</t>
        </is>
      </c>
      <c r="B43" s="7" t="inlineStr">
        <is>
          <t>Tombamento</t>
        </is>
      </c>
      <c r="C43" s="7" t="inlineStr">
        <is>
          <t>Txt_Tombamento</t>
        </is>
      </c>
      <c r="D43" s="7" t="inlineStr">
        <is>
          <t>TextBox</t>
        </is>
      </c>
      <c r="E43" s="7" t="inlineStr">
        <is>
          <t>Sim</t>
        </is>
      </c>
      <c r="F43" s="7" t="inlineStr"/>
    </row>
    <row r="44">
      <c r="A44" s="7" t="inlineStr">
        <is>
          <t>ET: EXECUCAO - LIGACAO NOVA MEDIA TENSAO</t>
        </is>
      </c>
      <c r="B44" s="7" t="inlineStr">
        <is>
          <t>Coordenada X</t>
        </is>
      </c>
      <c r="C44" s="7" t="inlineStr">
        <is>
          <t>Txt_COORD_X</t>
        </is>
      </c>
      <c r="D44" s="7" t="inlineStr">
        <is>
          <t>TextBox</t>
        </is>
      </c>
      <c r="E44" s="7" t="inlineStr">
        <is>
          <t>Sim</t>
        </is>
      </c>
      <c r="F44" s="7" t="inlineStr"/>
    </row>
    <row r="45">
      <c r="A45" s="7" t="inlineStr">
        <is>
          <t>ET: EXECUCAO - LIGACAO NOVA MEDIA TENSAO</t>
        </is>
      </c>
      <c r="B45" s="7" t="inlineStr">
        <is>
          <t>Coordenada Y</t>
        </is>
      </c>
      <c r="C45" s="7" t="inlineStr">
        <is>
          <t>Txt_COORD_Y</t>
        </is>
      </c>
      <c r="D45" s="7" t="inlineStr">
        <is>
          <t>TextBox</t>
        </is>
      </c>
      <c r="E45" s="7" t="inlineStr">
        <is>
          <t>Sim</t>
        </is>
      </c>
      <c r="F45" s="7" t="inlineStr"/>
    </row>
    <row r="46">
      <c r="A46" s="7" t="inlineStr">
        <is>
          <t>ET: EXECUCAO - LIGACAO NOVA MEDIA TENSAO</t>
        </is>
      </c>
      <c r="B46" s="7" t="inlineStr">
        <is>
          <t>Qtde Medidor BT</t>
        </is>
      </c>
      <c r="C46" s="7" t="inlineStr">
        <is>
          <t>Ls_Qtde_Medididor_BT</t>
        </is>
      </c>
      <c r="D46" s="7" t="inlineStr">
        <is>
          <t>Spinner</t>
        </is>
      </c>
      <c r="E46" s="7" t="inlineStr">
        <is>
          <t>Sim</t>
        </is>
      </c>
      <c r="F46" s="7" t="inlineStr">
        <is>
          <t>Opcoes: 1, 2, 3, 4</t>
        </is>
      </c>
    </row>
    <row r="47">
      <c r="A47" s="7" t="inlineStr">
        <is>
          <t>ET: EXECUCAO - LIGACAO NOVA MEDIA TENSAO</t>
        </is>
      </c>
      <c r="B47" s="7" t="inlineStr">
        <is>
          <t>Medidor BT Retirado/Cortado</t>
        </is>
      </c>
      <c r="C47" s="7" t="inlineStr">
        <is>
          <t>Ls_Medididor_BT_Retirado_ou_Cortado</t>
        </is>
      </c>
      <c r="D47" s="7" t="inlineStr">
        <is>
          <t>Spinner</t>
        </is>
      </c>
      <c r="E47" s="7" t="inlineStr">
        <is>
          <t>Sim</t>
        </is>
      </c>
      <c r="F47" s="7" t="inlineStr">
        <is>
          <t>Opcoes: SIM, NAO</t>
        </is>
      </c>
    </row>
    <row r="48">
      <c r="A48" s="7" t="inlineStr">
        <is>
          <t>ET: EXECUCAO - LIGACAO NOVA MEDIA TENSAO</t>
        </is>
      </c>
      <c r="B48" s="7" t="inlineStr">
        <is>
          <t>Ligacao Executada</t>
        </is>
      </c>
      <c r="C48" s="7" t="inlineStr">
        <is>
          <t>Ls_Ligacao_Executada</t>
        </is>
      </c>
      <c r="D48" s="7" t="inlineStr">
        <is>
          <t>Spinner</t>
        </is>
      </c>
      <c r="E48" s="7" t="inlineStr">
        <is>
          <t>Sim</t>
        </is>
      </c>
      <c r="F48" s="7" t="inlineStr">
        <is>
          <t>Opcoes: SIM, NAO</t>
        </is>
      </c>
    </row>
    <row r="49">
      <c r="A49" t="inlineStr"/>
      <c r="B49" t="inlineStr"/>
      <c r="C49" t="inlineStr"/>
      <c r="D49" t="inlineStr"/>
      <c r="E49" t="inlineStr"/>
      <c r="F49" t="inlineStr"/>
    </row>
    <row r="50">
      <c r="A50" s="6">
        <f>== GRUPO: SUBSTITUICAO DE EQUIPAMENTOS ===</f>
        <v/>
      </c>
      <c r="B50" s="6" t="inlineStr"/>
      <c r="C50" s="6" t="inlineStr"/>
      <c r="D50" s="6" t="inlineStr"/>
      <c r="E50" s="6" t="inlineStr"/>
      <c r="F50" s="6" t="inlineStr"/>
    </row>
    <row r="51">
      <c r="A51" s="7" t="inlineStr">
        <is>
          <t>LIGACAO NOVA MT - CLIENTE LIVRE</t>
        </is>
      </c>
      <c r="B51" s="7" t="inlineStr">
        <is>
          <t>Servico Executado</t>
        </is>
      </c>
      <c r="C51" s="7" t="inlineStr">
        <is>
          <t>Ls_Substituicao_de_Equipamentos_Executada</t>
        </is>
      </c>
      <c r="D51" s="7" t="inlineStr">
        <is>
          <t>Spinner</t>
        </is>
      </c>
      <c r="E51" s="7" t="inlineStr">
        <is>
          <t>Sim</t>
        </is>
      </c>
      <c r="F51" s="7" t="inlineStr">
        <is>
          <t>Opcoes: INSTALAR CONJUNTO, RETIRADO, TROCA DE CONJUNTO SEM CRIME, INSTALADO RETIRADO NAO ALTERADO</t>
        </is>
      </c>
    </row>
    <row r="52">
      <c r="A52" s="7" t="inlineStr">
        <is>
          <t>LIGACAO NOVA MT - CLIENTE LIVRE</t>
        </is>
      </c>
      <c r="B52" s="7" t="inlineStr">
        <is>
          <t>Medidor Instalado</t>
        </is>
      </c>
      <c r="C52" s="7" t="inlineStr">
        <is>
          <t>Cs_Informar_Medidor_Instalado</t>
        </is>
      </c>
      <c r="D52" s="7" t="inlineStr">
        <is>
          <t>CheckBox</t>
        </is>
      </c>
      <c r="E52" s="7" t="inlineStr">
        <is>
          <t>Condicional</t>
        </is>
      </c>
      <c r="F52" s="7" t="inlineStr">
        <is>
          <t>Obrigatorio se Servico = INSTALAR CONJUNTO</t>
        </is>
      </c>
    </row>
    <row r="53">
      <c r="A53" s="7" t="inlineStr">
        <is>
          <t>LIGACAO NOVA MT - CLIENTE LIVRE</t>
        </is>
      </c>
      <c r="B53" s="7" t="inlineStr">
        <is>
          <t>Conjunto Instalado</t>
        </is>
      </c>
      <c r="C53" s="7" t="inlineStr">
        <is>
          <t>Cs_Informar_Conjunto_Instalado</t>
        </is>
      </c>
      <c r="D53" s="7" t="inlineStr">
        <is>
          <t>CheckBox</t>
        </is>
      </c>
      <c r="E53" s="7" t="inlineStr">
        <is>
          <t>Condicional</t>
        </is>
      </c>
      <c r="F53" s="7" t="inlineStr">
        <is>
          <t>Obrigatorio se Servico = INSTALAR CONJUNTO</t>
        </is>
      </c>
    </row>
    <row r="54">
      <c r="A54" s="7" t="inlineStr">
        <is>
          <t>LIGACAO NOVA MT - CLIENTE LIVRE</t>
        </is>
      </c>
      <c r="B54" s="7" t="inlineStr">
        <is>
          <t>Display Instalado</t>
        </is>
      </c>
      <c r="C54" s="7" t="inlineStr">
        <is>
          <t>Cs_Informar_Display_Instalado</t>
        </is>
      </c>
      <c r="D54" s="7" t="inlineStr">
        <is>
          <t>CheckBox</t>
        </is>
      </c>
      <c r="E54" s="7" t="inlineStr">
        <is>
          <t>Condicional</t>
        </is>
      </c>
      <c r="F54" s="7" t="inlineStr">
        <is>
          <t>Obrigatorio se Servico = INSTALAR CONJUNTO</t>
        </is>
      </c>
    </row>
    <row r="55">
      <c r="A55" s="7" t="inlineStr">
        <is>
          <t>LIGACAO NOVA MT - CLIENTE LIVRE</t>
        </is>
      </c>
      <c r="B55" s="7" t="inlineStr">
        <is>
          <t>TC Fase A Instalado</t>
        </is>
      </c>
      <c r="C55" s="7" t="inlineStr">
        <is>
          <t>Cs_Informar_TC_FASE_A_Instalado</t>
        </is>
      </c>
      <c r="D55" s="7" t="inlineStr">
        <is>
          <t>CheckBox</t>
        </is>
      </c>
      <c r="E55" s="7" t="inlineStr">
        <is>
          <t>Condicional</t>
        </is>
      </c>
      <c r="F55" s="7" t="inlineStr">
        <is>
          <t>Obrigatorio se Servico = INSTALAR CONJUNTO</t>
        </is>
      </c>
    </row>
    <row r="56">
      <c r="A56" s="7" t="inlineStr">
        <is>
          <t>LIGACAO NOVA MT - CLIENTE LIVRE</t>
        </is>
      </c>
      <c r="B56" s="7" t="inlineStr">
        <is>
          <t>TC Fase B Instalado</t>
        </is>
      </c>
      <c r="C56" s="7" t="inlineStr">
        <is>
          <t>Cs_Informar_TC_FASE_B_Instalado</t>
        </is>
      </c>
      <c r="D56" s="7" t="inlineStr">
        <is>
          <t>CheckBox</t>
        </is>
      </c>
      <c r="E56" s="7" t="inlineStr">
        <is>
          <t>Condicional</t>
        </is>
      </c>
      <c r="F56" s="7" t="inlineStr">
        <is>
          <t>Obrigatorio se Servico = INSTALAR CONJUNTO</t>
        </is>
      </c>
    </row>
    <row r="57">
      <c r="A57" s="7" t="inlineStr">
        <is>
          <t>LIGACAO NOVA MT - CLIENTE LIVRE</t>
        </is>
      </c>
      <c r="B57" s="7" t="inlineStr">
        <is>
          <t>TC Fase C Instalado</t>
        </is>
      </c>
      <c r="C57" s="7" t="inlineStr">
        <is>
          <t>Cs_Informar_TC_FASE_C_Instalado</t>
        </is>
      </c>
      <c r="D57" s="7" t="inlineStr">
        <is>
          <t>CheckBox</t>
        </is>
      </c>
      <c r="E57" s="7" t="inlineStr">
        <is>
          <t>Condicional</t>
        </is>
      </c>
      <c r="F57" s="7" t="inlineStr">
        <is>
          <t>Obrigatorio se Servico = INSTALAR CONJUNTO</t>
        </is>
      </c>
    </row>
    <row r="58">
      <c r="A58" s="7" t="inlineStr">
        <is>
          <t>LIGACAO NOVA MT - CLIENTE LIVRE</t>
        </is>
      </c>
      <c r="B58" s="7" t="inlineStr">
        <is>
          <t>TP Fase A Instalado</t>
        </is>
      </c>
      <c r="C58" s="7" t="inlineStr">
        <is>
          <t>Cs_Informar_TP_FASE_A_Instalado</t>
        </is>
      </c>
      <c r="D58" s="7" t="inlineStr">
        <is>
          <t>CheckBox</t>
        </is>
      </c>
      <c r="E58" s="7" t="inlineStr">
        <is>
          <t>Condicional</t>
        </is>
      </c>
      <c r="F58" s="7" t="inlineStr">
        <is>
          <t>Obrigatorio se Servico = INSTALAR CONJUNTO</t>
        </is>
      </c>
    </row>
    <row r="59">
      <c r="A59" s="7" t="inlineStr">
        <is>
          <t>LIGACAO NOVA MT - CLIENTE LIVRE</t>
        </is>
      </c>
      <c r="B59" s="7" t="inlineStr">
        <is>
          <t>TP Fase B Instalado</t>
        </is>
      </c>
      <c r="C59" s="7" t="inlineStr">
        <is>
          <t>Cs_Informar_TP_FASE_B_Instalado</t>
        </is>
      </c>
      <c r="D59" s="7" t="inlineStr">
        <is>
          <t>CheckBox</t>
        </is>
      </c>
      <c r="E59" s="7" t="inlineStr">
        <is>
          <t>Condicional</t>
        </is>
      </c>
      <c r="F59" s="7" t="inlineStr">
        <is>
          <t>Obrigatorio se Servico = INSTALAR CONJUNTO</t>
        </is>
      </c>
    </row>
    <row r="60">
      <c r="A60" s="7" t="inlineStr">
        <is>
          <t>LIGACAO NOVA MT - CLIENTE LIVRE</t>
        </is>
      </c>
      <c r="B60" s="7" t="inlineStr">
        <is>
          <t>TP Fase C Instalado</t>
        </is>
      </c>
      <c r="C60" s="7" t="inlineStr">
        <is>
          <t>Cs_Informar_TP_FASE_C_Instalado</t>
        </is>
      </c>
      <c r="D60" s="7" t="inlineStr">
        <is>
          <t>CheckBox</t>
        </is>
      </c>
      <c r="E60" s="7" t="inlineStr">
        <is>
          <t>Condicional</t>
        </is>
      </c>
      <c r="F60" s="7" t="inlineStr">
        <is>
          <t>Obrigatorio se Servico = INSTALAR CONJUNTO</t>
        </is>
      </c>
    </row>
    <row r="61">
      <c r="A61" s="7" t="inlineStr">
        <is>
          <t>LIGACAO NOVA MT - CLIENTE LIVRE</t>
        </is>
      </c>
      <c r="B61" s="7" t="inlineStr">
        <is>
          <t>Medidor Retirado</t>
        </is>
      </c>
      <c r="C61" s="7" t="inlineStr">
        <is>
          <t>Cs_Informar_Medidor_Retirado</t>
        </is>
      </c>
      <c r="D61" s="7" t="inlineStr">
        <is>
          <t>CheckBox</t>
        </is>
      </c>
      <c r="E61" s="7" t="inlineStr">
        <is>
          <t>Condicional</t>
        </is>
      </c>
      <c r="F61" s="7" t="inlineStr">
        <is>
          <t>Obrigatorio se Servico = RETIRADO</t>
        </is>
      </c>
    </row>
    <row r="62">
      <c r="A62" s="7" t="inlineStr">
        <is>
          <t>LIGACAO NOVA MT - CLIENTE LIVRE</t>
        </is>
      </c>
      <c r="B62" s="7" t="inlineStr">
        <is>
          <t>Conjunto Retirado</t>
        </is>
      </c>
      <c r="C62" s="7" t="inlineStr">
        <is>
          <t>Cs_Informar_Conjunto_Retirado</t>
        </is>
      </c>
      <c r="D62" s="7" t="inlineStr">
        <is>
          <t>CheckBox</t>
        </is>
      </c>
      <c r="E62" s="7" t="inlineStr">
        <is>
          <t>Condicional</t>
        </is>
      </c>
      <c r="F62" s="7" t="inlineStr">
        <is>
          <t>Obrigatorio se Servico = RETIRADO</t>
        </is>
      </c>
    </row>
    <row r="63">
      <c r="A63" s="7" t="inlineStr">
        <is>
          <t>LIGACAO NOVA MT - CLIENTE LIVRE</t>
        </is>
      </c>
      <c r="B63" s="7" t="inlineStr">
        <is>
          <t>Display Retirado</t>
        </is>
      </c>
      <c r="C63" s="7" t="inlineStr">
        <is>
          <t>Cs_Informar_Display_Retirado</t>
        </is>
      </c>
      <c r="D63" s="7" t="inlineStr">
        <is>
          <t>CheckBox</t>
        </is>
      </c>
      <c r="E63" s="7" t="inlineStr">
        <is>
          <t>Condicional</t>
        </is>
      </c>
      <c r="F63" s="7" t="inlineStr">
        <is>
          <t>Obrigatorio se Servico = RETIRADO</t>
        </is>
      </c>
    </row>
    <row r="64">
      <c r="A64" s="7" t="inlineStr">
        <is>
          <t>LIGACAO NOVA MT - CLIENTE LIVRE</t>
        </is>
      </c>
      <c r="B64" s="7" t="inlineStr">
        <is>
          <t>TC Fase A Retirado</t>
        </is>
      </c>
      <c r="C64" s="7" t="inlineStr">
        <is>
          <t>Cs_Informar_TC_FASE_A_Retirado</t>
        </is>
      </c>
      <c r="D64" s="7" t="inlineStr">
        <is>
          <t>CheckBox</t>
        </is>
      </c>
      <c r="E64" s="7" t="inlineStr">
        <is>
          <t>Condicional</t>
        </is>
      </c>
      <c r="F64" s="7" t="inlineStr">
        <is>
          <t>Obrigatorio se Servico = RETIRADO</t>
        </is>
      </c>
    </row>
    <row r="65">
      <c r="A65" s="7" t="inlineStr">
        <is>
          <t>LIGACAO NOVA MT - CLIENTE LIVRE</t>
        </is>
      </c>
      <c r="B65" s="7" t="inlineStr">
        <is>
          <t>TC Fase B Retirado</t>
        </is>
      </c>
      <c r="C65" s="7" t="inlineStr">
        <is>
          <t>Cs_Informar_TC_FASE_B_Retirado</t>
        </is>
      </c>
      <c r="D65" s="7" t="inlineStr">
        <is>
          <t>CheckBox</t>
        </is>
      </c>
      <c r="E65" s="7" t="inlineStr">
        <is>
          <t>Condicional</t>
        </is>
      </c>
      <c r="F65" s="7" t="inlineStr">
        <is>
          <t>Obrigatorio se Servico = RETIRADO</t>
        </is>
      </c>
    </row>
    <row r="66">
      <c r="A66" s="7" t="inlineStr">
        <is>
          <t>LIGACAO NOVA MT - CLIENTE LIVRE</t>
        </is>
      </c>
      <c r="B66" s="7" t="inlineStr">
        <is>
          <t>TC Fase C Retirado</t>
        </is>
      </c>
      <c r="C66" s="7" t="inlineStr">
        <is>
          <t>Cs_Informar_TC_FASE_C_Retirado</t>
        </is>
      </c>
      <c r="D66" s="7" t="inlineStr">
        <is>
          <t>CheckBox</t>
        </is>
      </c>
      <c r="E66" s="7" t="inlineStr">
        <is>
          <t>Condicional</t>
        </is>
      </c>
      <c r="F66" s="7" t="inlineStr">
        <is>
          <t>Obrigatorio se Servico = RETIRADO</t>
        </is>
      </c>
    </row>
    <row r="67">
      <c r="A67" s="7" t="inlineStr">
        <is>
          <t>LIGACAO NOVA MT - CLIENTE LIVRE</t>
        </is>
      </c>
      <c r="B67" s="7" t="inlineStr">
        <is>
          <t>TP Fase A Retirado</t>
        </is>
      </c>
      <c r="C67" s="7" t="inlineStr">
        <is>
          <t>Cs_Informar_TP_FASE_A_Retirado</t>
        </is>
      </c>
      <c r="D67" s="7" t="inlineStr">
        <is>
          <t>CheckBox</t>
        </is>
      </c>
      <c r="E67" s="7" t="inlineStr">
        <is>
          <t>Condicional</t>
        </is>
      </c>
      <c r="F67" s="7" t="inlineStr">
        <is>
          <t>Obrigatorio se Servico = RETIRADO</t>
        </is>
      </c>
    </row>
    <row r="68">
      <c r="A68" s="7" t="inlineStr">
        <is>
          <t>LIGACAO NOVA MT - CLIENTE LIVRE</t>
        </is>
      </c>
      <c r="B68" s="7" t="inlineStr">
        <is>
          <t>TP Fase B Retirado</t>
        </is>
      </c>
      <c r="C68" s="7" t="inlineStr">
        <is>
          <t>Cs_Informar_TP_FASE_B_Retirado</t>
        </is>
      </c>
      <c r="D68" s="7" t="inlineStr">
        <is>
          <t>CheckBox</t>
        </is>
      </c>
      <c r="E68" s="7" t="inlineStr">
        <is>
          <t>Condicional</t>
        </is>
      </c>
      <c r="F68" s="7" t="inlineStr">
        <is>
          <t>Obrigatorio se Servico = RETIRADO</t>
        </is>
      </c>
    </row>
    <row r="69">
      <c r="A69" s="7" t="inlineStr">
        <is>
          <t>LIGACAO NOVA MT - CLIENTE LIVRE</t>
        </is>
      </c>
      <c r="B69" s="7" t="inlineStr">
        <is>
          <t>TP Fase C Retirado</t>
        </is>
      </c>
      <c r="C69" s="7" t="inlineStr">
        <is>
          <t>Cs_Informar_TP_FASE_C_Retirado</t>
        </is>
      </c>
      <c r="D69" s="7" t="inlineStr">
        <is>
          <t>CheckBox</t>
        </is>
      </c>
      <c r="E69" s="7" t="inlineStr">
        <is>
          <t>Condicional</t>
        </is>
      </c>
      <c r="F69" s="7" t="inlineStr">
        <is>
          <t>Obrigatorio se Servico = RETIRADO</t>
        </is>
      </c>
    </row>
    <row r="70">
      <c r="A70" s="7" t="inlineStr">
        <is>
          <t>RETIRAR EQUIPAMENTOS</t>
        </is>
      </c>
      <c r="B70" s="7" t="inlineStr">
        <is>
          <t>Servico Executado</t>
        </is>
      </c>
      <c r="C70" s="7" t="inlineStr">
        <is>
          <t>Ls_Substituicao_de_Equipamentos_Executada</t>
        </is>
      </c>
      <c r="D70" s="7" t="inlineStr">
        <is>
          <t>Spinner</t>
        </is>
      </c>
      <c r="E70" s="7" t="inlineStr">
        <is>
          <t>Sim</t>
        </is>
      </c>
      <c r="F70" s="7" t="inlineStr">
        <is>
          <t>Opcoes: INSTALAR CONJUNTO, RETIRADO, TROCA DE CONJUNTO SEM CRIME, INSTALADO RETIRADO NAO ALTERADO</t>
        </is>
      </c>
    </row>
    <row r="71">
      <c r="A71" s="7" t="inlineStr">
        <is>
          <t>RETIRAR EQUIPAMENTOS</t>
        </is>
      </c>
      <c r="B71" s="7" t="inlineStr">
        <is>
          <t>Medidor Instalado</t>
        </is>
      </c>
      <c r="C71" s="7" t="inlineStr">
        <is>
          <t>Cs_Informar_Medidor_Instalado</t>
        </is>
      </c>
      <c r="D71" s="7" t="inlineStr">
        <is>
          <t>CheckBox</t>
        </is>
      </c>
      <c r="E71" s="7" t="inlineStr">
        <is>
          <t>Condicional</t>
        </is>
      </c>
      <c r="F71" s="7" t="inlineStr">
        <is>
          <t>Obrigatorio se Servico = INSTALAR CONJUNTO</t>
        </is>
      </c>
    </row>
    <row r="72">
      <c r="A72" s="7" t="inlineStr">
        <is>
          <t>RETIRAR EQUIPAMENTOS</t>
        </is>
      </c>
      <c r="B72" s="7" t="inlineStr">
        <is>
          <t>Conjunto Instalado</t>
        </is>
      </c>
      <c r="C72" s="7" t="inlineStr">
        <is>
          <t>Cs_Informar_Conjunto_Instalado</t>
        </is>
      </c>
      <c r="D72" s="7" t="inlineStr">
        <is>
          <t>CheckBox</t>
        </is>
      </c>
      <c r="E72" s="7" t="inlineStr">
        <is>
          <t>Condicional</t>
        </is>
      </c>
      <c r="F72" s="7" t="inlineStr">
        <is>
          <t>Obrigatorio se Servico = INSTALAR CONJUNTO</t>
        </is>
      </c>
    </row>
    <row r="73">
      <c r="A73" s="7" t="inlineStr">
        <is>
          <t>RETIRAR EQUIPAMENTOS</t>
        </is>
      </c>
      <c r="B73" s="7" t="inlineStr">
        <is>
          <t>Display Instalado</t>
        </is>
      </c>
      <c r="C73" s="7" t="inlineStr">
        <is>
          <t>Cs_Informar_Display_Instalado</t>
        </is>
      </c>
      <c r="D73" s="7" t="inlineStr">
        <is>
          <t>CheckBox</t>
        </is>
      </c>
      <c r="E73" s="7" t="inlineStr">
        <is>
          <t>Condicional</t>
        </is>
      </c>
      <c r="F73" s="7" t="inlineStr">
        <is>
          <t>Obrigatorio se Servico = INSTALAR CONJUNTO</t>
        </is>
      </c>
    </row>
    <row r="74">
      <c r="A74" s="7" t="inlineStr">
        <is>
          <t>RETIRAR EQUIPAMENTOS</t>
        </is>
      </c>
      <c r="B74" s="7" t="inlineStr">
        <is>
          <t>TC Fase A Instalado</t>
        </is>
      </c>
      <c r="C74" s="7" t="inlineStr">
        <is>
          <t>Cs_Informar_TC_FASE_A_Instalado</t>
        </is>
      </c>
      <c r="D74" s="7" t="inlineStr">
        <is>
          <t>CheckBox</t>
        </is>
      </c>
      <c r="E74" s="7" t="inlineStr">
        <is>
          <t>Condicional</t>
        </is>
      </c>
      <c r="F74" s="7" t="inlineStr">
        <is>
          <t>Obrigatorio se Servico = INSTALAR CONJUNTO</t>
        </is>
      </c>
    </row>
    <row r="75">
      <c r="A75" s="7" t="inlineStr">
        <is>
          <t>RETIRAR EQUIPAMENTOS</t>
        </is>
      </c>
      <c r="B75" s="7" t="inlineStr">
        <is>
          <t>TC Fase B Instalado</t>
        </is>
      </c>
      <c r="C75" s="7" t="inlineStr">
        <is>
          <t>Cs_Informar_TC_FASE_B_Instalado</t>
        </is>
      </c>
      <c r="D75" s="7" t="inlineStr">
        <is>
          <t>CheckBox</t>
        </is>
      </c>
      <c r="E75" s="7" t="inlineStr">
        <is>
          <t>Condicional</t>
        </is>
      </c>
      <c r="F75" s="7" t="inlineStr">
        <is>
          <t>Obrigatorio se Servico = INSTALAR CONJUNTO</t>
        </is>
      </c>
    </row>
    <row r="76">
      <c r="A76" s="7" t="inlineStr">
        <is>
          <t>RETIRAR EQUIPAMENTOS</t>
        </is>
      </c>
      <c r="B76" s="7" t="inlineStr">
        <is>
          <t>TC Fase C Instalado</t>
        </is>
      </c>
      <c r="C76" s="7" t="inlineStr">
        <is>
          <t>Cs_Informar_TC_FASE_C_Instalado</t>
        </is>
      </c>
      <c r="D76" s="7" t="inlineStr">
        <is>
          <t>CheckBox</t>
        </is>
      </c>
      <c r="E76" s="7" t="inlineStr">
        <is>
          <t>Condicional</t>
        </is>
      </c>
      <c r="F76" s="7" t="inlineStr">
        <is>
          <t>Obrigatorio se Servico = INSTALAR CONJUNTO</t>
        </is>
      </c>
    </row>
    <row r="77">
      <c r="A77" s="7" t="inlineStr">
        <is>
          <t>RETIRAR EQUIPAMENTOS</t>
        </is>
      </c>
      <c r="B77" s="7" t="inlineStr">
        <is>
          <t>TP Fase A Instalado</t>
        </is>
      </c>
      <c r="C77" s="7" t="inlineStr">
        <is>
          <t>Cs_Informar_TP_FASE_A_Instalado</t>
        </is>
      </c>
      <c r="D77" s="7" t="inlineStr">
        <is>
          <t>CheckBox</t>
        </is>
      </c>
      <c r="E77" s="7" t="inlineStr">
        <is>
          <t>Condicional</t>
        </is>
      </c>
      <c r="F77" s="7" t="inlineStr">
        <is>
          <t>Obrigatorio se Servico = INSTALAR CONJUNTO</t>
        </is>
      </c>
    </row>
    <row r="78">
      <c r="A78" s="7" t="inlineStr">
        <is>
          <t>RETIRAR EQUIPAMENTOS</t>
        </is>
      </c>
      <c r="B78" s="7" t="inlineStr">
        <is>
          <t>TP Fase B Instalado</t>
        </is>
      </c>
      <c r="C78" s="7" t="inlineStr">
        <is>
          <t>Cs_Informar_TP_FASE_B_Instalado</t>
        </is>
      </c>
      <c r="D78" s="7" t="inlineStr">
        <is>
          <t>CheckBox</t>
        </is>
      </c>
      <c r="E78" s="7" t="inlineStr">
        <is>
          <t>Condicional</t>
        </is>
      </c>
      <c r="F78" s="7" t="inlineStr">
        <is>
          <t>Obrigatorio se Servico = INSTALAR CONJUNTO</t>
        </is>
      </c>
    </row>
    <row r="79">
      <c r="A79" s="7" t="inlineStr">
        <is>
          <t>RETIRAR EQUIPAMENTOS</t>
        </is>
      </c>
      <c r="B79" s="7" t="inlineStr">
        <is>
          <t>TP Fase C Instalado</t>
        </is>
      </c>
      <c r="C79" s="7" t="inlineStr">
        <is>
          <t>Cs_Informar_TP_FASE_C_Instalado</t>
        </is>
      </c>
      <c r="D79" s="7" t="inlineStr">
        <is>
          <t>CheckBox</t>
        </is>
      </c>
      <c r="E79" s="7" t="inlineStr">
        <is>
          <t>Condicional</t>
        </is>
      </c>
      <c r="F79" s="7" t="inlineStr">
        <is>
          <t>Obrigatorio se Servico = INSTALAR CONJUNTO</t>
        </is>
      </c>
    </row>
    <row r="80">
      <c r="A80" s="7" t="inlineStr">
        <is>
          <t>RETIRAR EQUIPAMENTOS</t>
        </is>
      </c>
      <c r="B80" s="7" t="inlineStr">
        <is>
          <t>Medidor Retirado</t>
        </is>
      </c>
      <c r="C80" s="7" t="inlineStr">
        <is>
          <t>Cs_Informar_Medidor_Retirado</t>
        </is>
      </c>
      <c r="D80" s="7" t="inlineStr">
        <is>
          <t>CheckBox</t>
        </is>
      </c>
      <c r="E80" s="7" t="inlineStr">
        <is>
          <t>Condicional</t>
        </is>
      </c>
      <c r="F80" s="7" t="inlineStr">
        <is>
          <t>Obrigatorio se Servico = RETIRADO</t>
        </is>
      </c>
    </row>
    <row r="81">
      <c r="A81" s="7" t="inlineStr">
        <is>
          <t>RETIRAR EQUIPAMENTOS</t>
        </is>
      </c>
      <c r="B81" s="7" t="inlineStr">
        <is>
          <t>Conjunto Retirado</t>
        </is>
      </c>
      <c r="C81" s="7" t="inlineStr">
        <is>
          <t>Cs_Informar_Conjunto_Retirado</t>
        </is>
      </c>
      <c r="D81" s="7" t="inlineStr">
        <is>
          <t>CheckBox</t>
        </is>
      </c>
      <c r="E81" s="7" t="inlineStr">
        <is>
          <t>Condicional</t>
        </is>
      </c>
      <c r="F81" s="7" t="inlineStr">
        <is>
          <t>Obrigatorio se Servico = RETIRADO</t>
        </is>
      </c>
    </row>
    <row r="82">
      <c r="A82" s="7" t="inlineStr">
        <is>
          <t>RETIRAR EQUIPAMENTOS</t>
        </is>
      </c>
      <c r="B82" s="7" t="inlineStr">
        <is>
          <t>Display Retirado</t>
        </is>
      </c>
      <c r="C82" s="7" t="inlineStr">
        <is>
          <t>Cs_Informar_Display_Retirado</t>
        </is>
      </c>
      <c r="D82" s="7" t="inlineStr">
        <is>
          <t>CheckBox</t>
        </is>
      </c>
      <c r="E82" s="7" t="inlineStr">
        <is>
          <t>Condicional</t>
        </is>
      </c>
      <c r="F82" s="7" t="inlineStr">
        <is>
          <t>Obrigatorio se Servico = RETIRADO</t>
        </is>
      </c>
    </row>
    <row r="83">
      <c r="A83" s="7" t="inlineStr">
        <is>
          <t>RETIRAR EQUIPAMENTOS</t>
        </is>
      </c>
      <c r="B83" s="7" t="inlineStr">
        <is>
          <t>TC Fase A Retirado</t>
        </is>
      </c>
      <c r="C83" s="7" t="inlineStr">
        <is>
          <t>Cs_Informar_TC_FASE_A_Retirado</t>
        </is>
      </c>
      <c r="D83" s="7" t="inlineStr">
        <is>
          <t>CheckBox</t>
        </is>
      </c>
      <c r="E83" s="7" t="inlineStr">
        <is>
          <t>Condicional</t>
        </is>
      </c>
      <c r="F83" s="7" t="inlineStr">
        <is>
          <t>Obrigatorio se Servico = RETIRADO</t>
        </is>
      </c>
    </row>
    <row r="84">
      <c r="A84" s="7" t="inlineStr">
        <is>
          <t>RETIRAR EQUIPAMENTOS</t>
        </is>
      </c>
      <c r="B84" s="7" t="inlineStr">
        <is>
          <t>TC Fase B Retirado</t>
        </is>
      </c>
      <c r="C84" s="7" t="inlineStr">
        <is>
          <t>Cs_Informar_TC_FASE_B_Retirado</t>
        </is>
      </c>
      <c r="D84" s="7" t="inlineStr">
        <is>
          <t>CheckBox</t>
        </is>
      </c>
      <c r="E84" s="7" t="inlineStr">
        <is>
          <t>Condicional</t>
        </is>
      </c>
      <c r="F84" s="7" t="inlineStr">
        <is>
          <t>Obrigatorio se Servico = RETIRADO</t>
        </is>
      </c>
    </row>
    <row r="85">
      <c r="A85" s="7" t="inlineStr">
        <is>
          <t>RETIRAR EQUIPAMENTOS</t>
        </is>
      </c>
      <c r="B85" s="7" t="inlineStr">
        <is>
          <t>TC Fase C Retirado</t>
        </is>
      </c>
      <c r="C85" s="7" t="inlineStr">
        <is>
          <t>Cs_Informar_TC_FASE_C_Retirado</t>
        </is>
      </c>
      <c r="D85" s="7" t="inlineStr">
        <is>
          <t>CheckBox</t>
        </is>
      </c>
      <c r="E85" s="7" t="inlineStr">
        <is>
          <t>Condicional</t>
        </is>
      </c>
      <c r="F85" s="7" t="inlineStr">
        <is>
          <t>Obrigatorio se Servico = RETIRADO</t>
        </is>
      </c>
    </row>
    <row r="86">
      <c r="A86" s="7" t="inlineStr">
        <is>
          <t>RETIRAR EQUIPAMENTOS</t>
        </is>
      </c>
      <c r="B86" s="7" t="inlineStr">
        <is>
          <t>TP Fase A Retirado</t>
        </is>
      </c>
      <c r="C86" s="7" t="inlineStr">
        <is>
          <t>Cs_Informar_TP_FASE_A_Retirado</t>
        </is>
      </c>
      <c r="D86" s="7" t="inlineStr">
        <is>
          <t>CheckBox</t>
        </is>
      </c>
      <c r="E86" s="7" t="inlineStr">
        <is>
          <t>Condicional</t>
        </is>
      </c>
      <c r="F86" s="7" t="inlineStr">
        <is>
          <t>Obrigatorio se Servico = RETIRADO</t>
        </is>
      </c>
    </row>
    <row r="87">
      <c r="A87" s="7" t="inlineStr">
        <is>
          <t>RETIRAR EQUIPAMENTOS</t>
        </is>
      </c>
      <c r="B87" s="7" t="inlineStr">
        <is>
          <t>TP Fase B Retirado</t>
        </is>
      </c>
      <c r="C87" s="7" t="inlineStr">
        <is>
          <t>Cs_Informar_TP_FASE_B_Retirado</t>
        </is>
      </c>
      <c r="D87" s="7" t="inlineStr">
        <is>
          <t>CheckBox</t>
        </is>
      </c>
      <c r="E87" s="7" t="inlineStr">
        <is>
          <t>Condicional</t>
        </is>
      </c>
      <c r="F87" s="7" t="inlineStr">
        <is>
          <t>Obrigatorio se Servico = RETIRADO</t>
        </is>
      </c>
    </row>
    <row r="88">
      <c r="A88" s="7" t="inlineStr">
        <is>
          <t>RETIRAR EQUIPAMENTOS</t>
        </is>
      </c>
      <c r="B88" s="7" t="inlineStr">
        <is>
          <t>TP Fase C Retirado</t>
        </is>
      </c>
      <c r="C88" s="7" t="inlineStr">
        <is>
          <t>Cs_Informar_TP_FASE_C_Retirado</t>
        </is>
      </c>
      <c r="D88" s="7" t="inlineStr">
        <is>
          <t>CheckBox</t>
        </is>
      </c>
      <c r="E88" s="7" t="inlineStr">
        <is>
          <t>Condicional</t>
        </is>
      </c>
      <c r="F88" s="7" t="inlineStr">
        <is>
          <t>Obrigatorio se Servico = RETIRADO</t>
        </is>
      </c>
    </row>
    <row r="89">
      <c r="A89" s="7" t="inlineStr">
        <is>
          <t>SUBST. MEDIDOR INICIATIVA COELCE</t>
        </is>
      </c>
      <c r="B89" s="7" t="inlineStr">
        <is>
          <t>Servico Executado</t>
        </is>
      </c>
      <c r="C89" s="7" t="inlineStr">
        <is>
          <t>Ls_Substituicao_de_Equipamentos_Executada</t>
        </is>
      </c>
      <c r="D89" s="7" t="inlineStr">
        <is>
          <t>Spinner</t>
        </is>
      </c>
      <c r="E89" s="7" t="inlineStr">
        <is>
          <t>Sim</t>
        </is>
      </c>
      <c r="F89" s="7" t="inlineStr">
        <is>
          <t>Opcoes: INSTALAR CONJUNTO, RETIRADO, TROCA DE CONJUNTO SEM CRIME, INSTALADO RETIRADO NAO ALTERADO</t>
        </is>
      </c>
    </row>
    <row r="90">
      <c r="A90" s="7" t="inlineStr">
        <is>
          <t>SUBST. MEDIDOR INICIATIVA COELCE</t>
        </is>
      </c>
      <c r="B90" s="7" t="inlineStr">
        <is>
          <t>Medidor Instalado</t>
        </is>
      </c>
      <c r="C90" s="7" t="inlineStr">
        <is>
          <t>Cs_Informar_Medidor_Instalado</t>
        </is>
      </c>
      <c r="D90" s="7" t="inlineStr">
        <is>
          <t>CheckBox</t>
        </is>
      </c>
      <c r="E90" s="7" t="inlineStr">
        <is>
          <t>Condicional</t>
        </is>
      </c>
      <c r="F90" s="7" t="inlineStr">
        <is>
          <t>Obrigatorio se Servico = INSTALAR CONJUNTO</t>
        </is>
      </c>
    </row>
    <row r="91">
      <c r="A91" s="7" t="inlineStr">
        <is>
          <t>SUBST. MEDIDOR INICIATIVA COELCE</t>
        </is>
      </c>
      <c r="B91" s="7" t="inlineStr">
        <is>
          <t>Conjunto Instalado</t>
        </is>
      </c>
      <c r="C91" s="7" t="inlineStr">
        <is>
          <t>Cs_Informar_Conjunto_Instalado</t>
        </is>
      </c>
      <c r="D91" s="7" t="inlineStr">
        <is>
          <t>CheckBox</t>
        </is>
      </c>
      <c r="E91" s="7" t="inlineStr">
        <is>
          <t>Condicional</t>
        </is>
      </c>
      <c r="F91" s="7" t="inlineStr">
        <is>
          <t>Obrigatorio se Servico = INSTALAR CONJUNTO</t>
        </is>
      </c>
    </row>
    <row r="92">
      <c r="A92" s="7" t="inlineStr">
        <is>
          <t>SUBST. MEDIDOR INICIATIVA COELCE</t>
        </is>
      </c>
      <c r="B92" s="7" t="inlineStr">
        <is>
          <t>Display Instalado</t>
        </is>
      </c>
      <c r="C92" s="7" t="inlineStr">
        <is>
          <t>Cs_Informar_Display_Instalado</t>
        </is>
      </c>
      <c r="D92" s="7" t="inlineStr">
        <is>
          <t>CheckBox</t>
        </is>
      </c>
      <c r="E92" s="7" t="inlineStr">
        <is>
          <t>Condicional</t>
        </is>
      </c>
      <c r="F92" s="7" t="inlineStr">
        <is>
          <t>Obrigatorio se Servico = INSTALAR CONJUNTO</t>
        </is>
      </c>
    </row>
    <row r="93">
      <c r="A93" s="7" t="inlineStr">
        <is>
          <t>SUBST. MEDIDOR INICIATIVA COELCE</t>
        </is>
      </c>
      <c r="B93" s="7" t="inlineStr">
        <is>
          <t>TC Fase A Instalado</t>
        </is>
      </c>
      <c r="C93" s="7" t="inlineStr">
        <is>
          <t>Cs_Informar_TC_FASE_A_Instalado</t>
        </is>
      </c>
      <c r="D93" s="7" t="inlineStr">
        <is>
          <t>CheckBox</t>
        </is>
      </c>
      <c r="E93" s="7" t="inlineStr">
        <is>
          <t>Condicional</t>
        </is>
      </c>
      <c r="F93" s="7" t="inlineStr">
        <is>
          <t>Obrigatorio se Servico = INSTALAR CONJUNTO</t>
        </is>
      </c>
    </row>
    <row r="94">
      <c r="A94" s="7" t="inlineStr">
        <is>
          <t>SUBST. MEDIDOR INICIATIVA COELCE</t>
        </is>
      </c>
      <c r="B94" s="7" t="inlineStr">
        <is>
          <t>TC Fase B Instalado</t>
        </is>
      </c>
      <c r="C94" s="7" t="inlineStr">
        <is>
          <t>Cs_Informar_TC_FASE_B_Instalado</t>
        </is>
      </c>
      <c r="D94" s="7" t="inlineStr">
        <is>
          <t>CheckBox</t>
        </is>
      </c>
      <c r="E94" s="7" t="inlineStr">
        <is>
          <t>Condicional</t>
        </is>
      </c>
      <c r="F94" s="7" t="inlineStr">
        <is>
          <t>Obrigatorio se Servico = INSTALAR CONJUNTO</t>
        </is>
      </c>
    </row>
    <row r="95">
      <c r="A95" s="7" t="inlineStr">
        <is>
          <t>SUBST. MEDIDOR INICIATIVA COELCE</t>
        </is>
      </c>
      <c r="B95" s="7" t="inlineStr">
        <is>
          <t>TC Fase C Instalado</t>
        </is>
      </c>
      <c r="C95" s="7" t="inlineStr">
        <is>
          <t>Cs_Informar_TC_FASE_C_Instalado</t>
        </is>
      </c>
      <c r="D95" s="7" t="inlineStr">
        <is>
          <t>CheckBox</t>
        </is>
      </c>
      <c r="E95" s="7" t="inlineStr">
        <is>
          <t>Condicional</t>
        </is>
      </c>
      <c r="F95" s="7" t="inlineStr">
        <is>
          <t>Obrigatorio se Servico = INSTALAR CONJUNTO</t>
        </is>
      </c>
    </row>
    <row r="96">
      <c r="A96" s="7" t="inlineStr">
        <is>
          <t>SUBST. MEDIDOR INICIATIVA COELCE</t>
        </is>
      </c>
      <c r="B96" s="7" t="inlineStr">
        <is>
          <t>TP Fase A Instalado</t>
        </is>
      </c>
      <c r="C96" s="7" t="inlineStr">
        <is>
          <t>Cs_Informar_TP_FASE_A_Instalado</t>
        </is>
      </c>
      <c r="D96" s="7" t="inlineStr">
        <is>
          <t>CheckBox</t>
        </is>
      </c>
      <c r="E96" s="7" t="inlineStr">
        <is>
          <t>Condicional</t>
        </is>
      </c>
      <c r="F96" s="7" t="inlineStr">
        <is>
          <t>Obrigatorio se Servico = INSTALAR CONJUNTO</t>
        </is>
      </c>
    </row>
    <row r="97">
      <c r="A97" s="7" t="inlineStr">
        <is>
          <t>SUBST. MEDIDOR INICIATIVA COELCE</t>
        </is>
      </c>
      <c r="B97" s="7" t="inlineStr">
        <is>
          <t>TP Fase B Instalado</t>
        </is>
      </c>
      <c r="C97" s="7" t="inlineStr">
        <is>
          <t>Cs_Informar_TP_FASE_B_Instalado</t>
        </is>
      </c>
      <c r="D97" s="7" t="inlineStr">
        <is>
          <t>CheckBox</t>
        </is>
      </c>
      <c r="E97" s="7" t="inlineStr">
        <is>
          <t>Condicional</t>
        </is>
      </c>
      <c r="F97" s="7" t="inlineStr">
        <is>
          <t>Obrigatorio se Servico = INSTALAR CONJUNTO</t>
        </is>
      </c>
    </row>
    <row r="98">
      <c r="A98" s="7" t="inlineStr">
        <is>
          <t>SUBST. MEDIDOR INICIATIVA COELCE</t>
        </is>
      </c>
      <c r="B98" s="7" t="inlineStr">
        <is>
          <t>TP Fase C Instalado</t>
        </is>
      </c>
      <c r="C98" s="7" t="inlineStr">
        <is>
          <t>Cs_Informar_TP_FASE_C_Instalado</t>
        </is>
      </c>
      <c r="D98" s="7" t="inlineStr">
        <is>
          <t>CheckBox</t>
        </is>
      </c>
      <c r="E98" s="7" t="inlineStr">
        <is>
          <t>Condicional</t>
        </is>
      </c>
      <c r="F98" s="7" t="inlineStr">
        <is>
          <t>Obrigatorio se Servico = INSTALAR CONJUNTO</t>
        </is>
      </c>
    </row>
    <row r="99">
      <c r="A99" s="7" t="inlineStr">
        <is>
          <t>SUBST. MEDIDOR INICIATIVA COELCE</t>
        </is>
      </c>
      <c r="B99" s="7" t="inlineStr">
        <is>
          <t>Medidor Retirado</t>
        </is>
      </c>
      <c r="C99" s="7" t="inlineStr">
        <is>
          <t>Cs_Informar_Medidor_Retirado</t>
        </is>
      </c>
      <c r="D99" s="7" t="inlineStr">
        <is>
          <t>CheckBox</t>
        </is>
      </c>
      <c r="E99" s="7" t="inlineStr">
        <is>
          <t>Condicional</t>
        </is>
      </c>
      <c r="F99" s="7" t="inlineStr">
        <is>
          <t>Obrigatorio se Servico = RETIRADO</t>
        </is>
      </c>
    </row>
    <row r="100">
      <c r="A100" s="7" t="inlineStr">
        <is>
          <t>SUBST. MEDIDOR INICIATIVA COELCE</t>
        </is>
      </c>
      <c r="B100" s="7" t="inlineStr">
        <is>
          <t>Conjunto Retirado</t>
        </is>
      </c>
      <c r="C100" s="7" t="inlineStr">
        <is>
          <t>Cs_Informar_Conjunto_Retirado</t>
        </is>
      </c>
      <c r="D100" s="7" t="inlineStr">
        <is>
          <t>CheckBox</t>
        </is>
      </c>
      <c r="E100" s="7" t="inlineStr">
        <is>
          <t>Condicional</t>
        </is>
      </c>
      <c r="F100" s="7" t="inlineStr">
        <is>
          <t>Obrigatorio se Servico = RETIRADO</t>
        </is>
      </c>
    </row>
    <row r="101">
      <c r="A101" s="7" t="inlineStr">
        <is>
          <t>SUBST. MEDIDOR INICIATIVA COELCE</t>
        </is>
      </c>
      <c r="B101" s="7" t="inlineStr">
        <is>
          <t>Display Retirado</t>
        </is>
      </c>
      <c r="C101" s="7" t="inlineStr">
        <is>
          <t>Cs_Informar_Display_Retirado</t>
        </is>
      </c>
      <c r="D101" s="7" t="inlineStr">
        <is>
          <t>CheckBox</t>
        </is>
      </c>
      <c r="E101" s="7" t="inlineStr">
        <is>
          <t>Condicional</t>
        </is>
      </c>
      <c r="F101" s="7" t="inlineStr">
        <is>
          <t>Obrigatorio se Servico = RETIRADO</t>
        </is>
      </c>
    </row>
    <row r="102">
      <c r="A102" s="7" t="inlineStr">
        <is>
          <t>SUBST. MEDIDOR INICIATIVA COELCE</t>
        </is>
      </c>
      <c r="B102" s="7" t="inlineStr">
        <is>
          <t>TC Fase A Retirado</t>
        </is>
      </c>
      <c r="C102" s="7" t="inlineStr">
        <is>
          <t>Cs_Informar_TC_FASE_A_Retirado</t>
        </is>
      </c>
      <c r="D102" s="7" t="inlineStr">
        <is>
          <t>CheckBox</t>
        </is>
      </c>
      <c r="E102" s="7" t="inlineStr">
        <is>
          <t>Condicional</t>
        </is>
      </c>
      <c r="F102" s="7" t="inlineStr">
        <is>
          <t>Obrigatorio se Servico = RETIRADO</t>
        </is>
      </c>
    </row>
    <row r="103">
      <c r="A103" s="7" t="inlineStr">
        <is>
          <t>SUBST. MEDIDOR INICIATIVA COELCE</t>
        </is>
      </c>
      <c r="B103" s="7" t="inlineStr">
        <is>
          <t>TC Fase B Retirado</t>
        </is>
      </c>
      <c r="C103" s="7" t="inlineStr">
        <is>
          <t>Cs_Informar_TC_FASE_B_Retirado</t>
        </is>
      </c>
      <c r="D103" s="7" t="inlineStr">
        <is>
          <t>CheckBox</t>
        </is>
      </c>
      <c r="E103" s="7" t="inlineStr">
        <is>
          <t>Condicional</t>
        </is>
      </c>
      <c r="F103" s="7" t="inlineStr">
        <is>
          <t>Obrigatorio se Servico = RETIRADO</t>
        </is>
      </c>
    </row>
    <row r="104">
      <c r="A104" s="7" t="inlineStr">
        <is>
          <t>SUBST. MEDIDOR INICIATIVA COELCE</t>
        </is>
      </c>
      <c r="B104" s="7" t="inlineStr">
        <is>
          <t>TC Fase C Retirado</t>
        </is>
      </c>
      <c r="C104" s="7" t="inlineStr">
        <is>
          <t>Cs_Informar_TC_FASE_C_Retirado</t>
        </is>
      </c>
      <c r="D104" s="7" t="inlineStr">
        <is>
          <t>CheckBox</t>
        </is>
      </c>
      <c r="E104" s="7" t="inlineStr">
        <is>
          <t>Condicional</t>
        </is>
      </c>
      <c r="F104" s="7" t="inlineStr">
        <is>
          <t>Obrigatorio se Servico = RETIRADO</t>
        </is>
      </c>
    </row>
    <row r="105">
      <c r="A105" s="7" t="inlineStr">
        <is>
          <t>SUBST. MEDIDOR INICIATIVA COELCE</t>
        </is>
      </c>
      <c r="B105" s="7" t="inlineStr">
        <is>
          <t>TP Fase A Retirado</t>
        </is>
      </c>
      <c r="C105" s="7" t="inlineStr">
        <is>
          <t>Cs_Informar_TP_FASE_A_Retirado</t>
        </is>
      </c>
      <c r="D105" s="7" t="inlineStr">
        <is>
          <t>CheckBox</t>
        </is>
      </c>
      <c r="E105" s="7" t="inlineStr">
        <is>
          <t>Condicional</t>
        </is>
      </c>
      <c r="F105" s="7" t="inlineStr">
        <is>
          <t>Obrigatorio se Servico = RETIRADO</t>
        </is>
      </c>
    </row>
    <row r="106">
      <c r="A106" s="7" t="inlineStr">
        <is>
          <t>SUBST. MEDIDOR INICIATIVA COELCE</t>
        </is>
      </c>
      <c r="B106" s="7" t="inlineStr">
        <is>
          <t>TP Fase B Retirado</t>
        </is>
      </c>
      <c r="C106" s="7" t="inlineStr">
        <is>
          <t>Cs_Informar_TP_FASE_B_Retirado</t>
        </is>
      </c>
      <c r="D106" s="7" t="inlineStr">
        <is>
          <t>CheckBox</t>
        </is>
      </c>
      <c r="E106" s="7" t="inlineStr">
        <is>
          <t>Condicional</t>
        </is>
      </c>
      <c r="F106" s="7" t="inlineStr">
        <is>
          <t>Obrigatorio se Servico = RETIRADO</t>
        </is>
      </c>
    </row>
    <row r="107">
      <c r="A107" s="7" t="inlineStr">
        <is>
          <t>SUBST. MEDIDOR INICIATIVA COELCE</t>
        </is>
      </c>
      <c r="B107" s="7" t="inlineStr">
        <is>
          <t>TP Fase C Retirado</t>
        </is>
      </c>
      <c r="C107" s="7" t="inlineStr">
        <is>
          <t>Cs_Informar_TP_FASE_C_Retirado</t>
        </is>
      </c>
      <c r="D107" s="7" t="inlineStr">
        <is>
          <t>CheckBox</t>
        </is>
      </c>
      <c r="E107" s="7" t="inlineStr">
        <is>
          <t>Condicional</t>
        </is>
      </c>
      <c r="F107" s="7" t="inlineStr">
        <is>
          <t>Obrigatorio se Servico = RETIRADO</t>
        </is>
      </c>
    </row>
    <row r="108">
      <c r="A108" s="7" t="inlineStr">
        <is>
          <t>SUBST. MEDIDOR A PEDIDO</t>
        </is>
      </c>
      <c r="B108" s="7" t="inlineStr">
        <is>
          <t>Servico Executado</t>
        </is>
      </c>
      <c r="C108" s="7" t="inlineStr">
        <is>
          <t>Ls_Substituicao_de_Equipamentos_Executada</t>
        </is>
      </c>
      <c r="D108" s="7" t="inlineStr">
        <is>
          <t>Spinner</t>
        </is>
      </c>
      <c r="E108" s="7" t="inlineStr">
        <is>
          <t>Sim</t>
        </is>
      </c>
      <c r="F108" s="7" t="inlineStr">
        <is>
          <t>Opcoes: INSTALAR CONJUNTO, RETIRADO, TROCA DE CONJUNTO SEM CRIME, INSTALADO RETIRADO NAO ALTERADO</t>
        </is>
      </c>
    </row>
    <row r="109">
      <c r="A109" s="7" t="inlineStr">
        <is>
          <t>SUBST. MEDIDOR A PEDIDO</t>
        </is>
      </c>
      <c r="B109" s="7" t="inlineStr">
        <is>
          <t>Medidor Instalado</t>
        </is>
      </c>
      <c r="C109" s="7" t="inlineStr">
        <is>
          <t>Cs_Informar_Medidor_Instalado</t>
        </is>
      </c>
      <c r="D109" s="7" t="inlineStr">
        <is>
          <t>CheckBox</t>
        </is>
      </c>
      <c r="E109" s="7" t="inlineStr">
        <is>
          <t>Condicional</t>
        </is>
      </c>
      <c r="F109" s="7" t="inlineStr">
        <is>
          <t>Obrigatorio se Servico = INSTALAR CONJUNTO</t>
        </is>
      </c>
    </row>
    <row r="110">
      <c r="A110" s="7" t="inlineStr">
        <is>
          <t>SUBST. MEDIDOR A PEDIDO</t>
        </is>
      </c>
      <c r="B110" s="7" t="inlineStr">
        <is>
          <t>Conjunto Instalado</t>
        </is>
      </c>
      <c r="C110" s="7" t="inlineStr">
        <is>
          <t>Cs_Informar_Conjunto_Instalado</t>
        </is>
      </c>
      <c r="D110" s="7" t="inlineStr">
        <is>
          <t>CheckBox</t>
        </is>
      </c>
      <c r="E110" s="7" t="inlineStr">
        <is>
          <t>Condicional</t>
        </is>
      </c>
      <c r="F110" s="7" t="inlineStr">
        <is>
          <t>Obrigatorio se Servico = INSTALAR CONJUNTO</t>
        </is>
      </c>
    </row>
    <row r="111">
      <c r="A111" s="7" t="inlineStr">
        <is>
          <t>SUBST. MEDIDOR A PEDIDO</t>
        </is>
      </c>
      <c r="B111" s="7" t="inlineStr">
        <is>
          <t>Display Instalado</t>
        </is>
      </c>
      <c r="C111" s="7" t="inlineStr">
        <is>
          <t>Cs_Informar_Display_Instalado</t>
        </is>
      </c>
      <c r="D111" s="7" t="inlineStr">
        <is>
          <t>CheckBox</t>
        </is>
      </c>
      <c r="E111" s="7" t="inlineStr">
        <is>
          <t>Condicional</t>
        </is>
      </c>
      <c r="F111" s="7" t="inlineStr">
        <is>
          <t>Obrigatorio se Servico = INSTALAR CONJUNTO</t>
        </is>
      </c>
    </row>
    <row r="112">
      <c r="A112" s="7" t="inlineStr">
        <is>
          <t>SUBST. MEDIDOR A PEDIDO</t>
        </is>
      </c>
      <c r="B112" s="7" t="inlineStr">
        <is>
          <t>TC Fase A Instalado</t>
        </is>
      </c>
      <c r="C112" s="7" t="inlineStr">
        <is>
          <t>Cs_Informar_TC_FASE_A_Instalado</t>
        </is>
      </c>
      <c r="D112" s="7" t="inlineStr">
        <is>
          <t>CheckBox</t>
        </is>
      </c>
      <c r="E112" s="7" t="inlineStr">
        <is>
          <t>Condicional</t>
        </is>
      </c>
      <c r="F112" s="7" t="inlineStr">
        <is>
          <t>Obrigatorio se Servico = INSTALAR CONJUNTO</t>
        </is>
      </c>
    </row>
    <row r="113">
      <c r="A113" s="7" t="inlineStr">
        <is>
          <t>SUBST. MEDIDOR A PEDIDO</t>
        </is>
      </c>
      <c r="B113" s="7" t="inlineStr">
        <is>
          <t>TC Fase B Instalado</t>
        </is>
      </c>
      <c r="C113" s="7" t="inlineStr">
        <is>
          <t>Cs_Informar_TC_FASE_B_Instalado</t>
        </is>
      </c>
      <c r="D113" s="7" t="inlineStr">
        <is>
          <t>CheckBox</t>
        </is>
      </c>
      <c r="E113" s="7" t="inlineStr">
        <is>
          <t>Condicional</t>
        </is>
      </c>
      <c r="F113" s="7" t="inlineStr">
        <is>
          <t>Obrigatorio se Servico = INSTALAR CONJUNTO</t>
        </is>
      </c>
    </row>
    <row r="114">
      <c r="A114" s="7" t="inlineStr">
        <is>
          <t>SUBST. MEDIDOR A PEDIDO</t>
        </is>
      </c>
      <c r="B114" s="7" t="inlineStr">
        <is>
          <t>TC Fase C Instalado</t>
        </is>
      </c>
      <c r="C114" s="7" t="inlineStr">
        <is>
          <t>Cs_Informar_TC_FASE_C_Instalado</t>
        </is>
      </c>
      <c r="D114" s="7" t="inlineStr">
        <is>
          <t>CheckBox</t>
        </is>
      </c>
      <c r="E114" s="7" t="inlineStr">
        <is>
          <t>Condicional</t>
        </is>
      </c>
      <c r="F114" s="7" t="inlineStr">
        <is>
          <t>Obrigatorio se Servico = INSTALAR CONJUNTO</t>
        </is>
      </c>
    </row>
    <row r="115">
      <c r="A115" s="7" t="inlineStr">
        <is>
          <t>SUBST. MEDIDOR A PEDIDO</t>
        </is>
      </c>
      <c r="B115" s="7" t="inlineStr">
        <is>
          <t>TP Fase A Instalado</t>
        </is>
      </c>
      <c r="C115" s="7" t="inlineStr">
        <is>
          <t>Cs_Informar_TP_FASE_A_Instalado</t>
        </is>
      </c>
      <c r="D115" s="7" t="inlineStr">
        <is>
          <t>CheckBox</t>
        </is>
      </c>
      <c r="E115" s="7" t="inlineStr">
        <is>
          <t>Condicional</t>
        </is>
      </c>
      <c r="F115" s="7" t="inlineStr">
        <is>
          <t>Obrigatorio se Servico = INSTALAR CONJUNTO</t>
        </is>
      </c>
    </row>
    <row r="116">
      <c r="A116" s="7" t="inlineStr">
        <is>
          <t>SUBST. MEDIDOR A PEDIDO</t>
        </is>
      </c>
      <c r="B116" s="7" t="inlineStr">
        <is>
          <t>TP Fase B Instalado</t>
        </is>
      </c>
      <c r="C116" s="7" t="inlineStr">
        <is>
          <t>Cs_Informar_TP_FASE_B_Instalado</t>
        </is>
      </c>
      <c r="D116" s="7" t="inlineStr">
        <is>
          <t>CheckBox</t>
        </is>
      </c>
      <c r="E116" s="7" t="inlineStr">
        <is>
          <t>Condicional</t>
        </is>
      </c>
      <c r="F116" s="7" t="inlineStr">
        <is>
          <t>Obrigatorio se Servico = INSTALAR CONJUNTO</t>
        </is>
      </c>
    </row>
    <row r="117">
      <c r="A117" s="7" t="inlineStr">
        <is>
          <t>SUBST. MEDIDOR A PEDIDO</t>
        </is>
      </c>
      <c r="B117" s="7" t="inlineStr">
        <is>
          <t>TP Fase C Instalado</t>
        </is>
      </c>
      <c r="C117" s="7" t="inlineStr">
        <is>
          <t>Cs_Informar_TP_FASE_C_Instalado</t>
        </is>
      </c>
      <c r="D117" s="7" t="inlineStr">
        <is>
          <t>CheckBox</t>
        </is>
      </c>
      <c r="E117" s="7" t="inlineStr">
        <is>
          <t>Condicional</t>
        </is>
      </c>
      <c r="F117" s="7" t="inlineStr">
        <is>
          <t>Obrigatorio se Servico = INSTALAR CONJUNTO</t>
        </is>
      </c>
    </row>
    <row r="118">
      <c r="A118" s="7" t="inlineStr">
        <is>
          <t>SUBST. MEDIDOR A PEDIDO</t>
        </is>
      </c>
      <c r="B118" s="7" t="inlineStr">
        <is>
          <t>Medidor Retirado</t>
        </is>
      </c>
      <c r="C118" s="7" t="inlineStr">
        <is>
          <t>Cs_Informar_Medidor_Retirado</t>
        </is>
      </c>
      <c r="D118" s="7" t="inlineStr">
        <is>
          <t>CheckBox</t>
        </is>
      </c>
      <c r="E118" s="7" t="inlineStr">
        <is>
          <t>Condicional</t>
        </is>
      </c>
      <c r="F118" s="7" t="inlineStr">
        <is>
          <t>Obrigatorio se Servico = RETIRADO</t>
        </is>
      </c>
    </row>
    <row r="119">
      <c r="A119" s="7" t="inlineStr">
        <is>
          <t>SUBST. MEDIDOR A PEDIDO</t>
        </is>
      </c>
      <c r="B119" s="7" t="inlineStr">
        <is>
          <t>Conjunto Retirado</t>
        </is>
      </c>
      <c r="C119" s="7" t="inlineStr">
        <is>
          <t>Cs_Informar_Conjunto_Retirado</t>
        </is>
      </c>
      <c r="D119" s="7" t="inlineStr">
        <is>
          <t>CheckBox</t>
        </is>
      </c>
      <c r="E119" s="7" t="inlineStr">
        <is>
          <t>Condicional</t>
        </is>
      </c>
      <c r="F119" s="7" t="inlineStr">
        <is>
          <t>Obrigatorio se Servico = RETIRADO</t>
        </is>
      </c>
    </row>
    <row r="120">
      <c r="A120" s="7" t="inlineStr">
        <is>
          <t>SUBST. MEDIDOR A PEDIDO</t>
        </is>
      </c>
      <c r="B120" s="7" t="inlineStr">
        <is>
          <t>Display Retirado</t>
        </is>
      </c>
      <c r="C120" s="7" t="inlineStr">
        <is>
          <t>Cs_Informar_Display_Retirado</t>
        </is>
      </c>
      <c r="D120" s="7" t="inlineStr">
        <is>
          <t>CheckBox</t>
        </is>
      </c>
      <c r="E120" s="7" t="inlineStr">
        <is>
          <t>Condicional</t>
        </is>
      </c>
      <c r="F120" s="7" t="inlineStr">
        <is>
          <t>Obrigatorio se Servico = RETIRADO</t>
        </is>
      </c>
    </row>
    <row r="121">
      <c r="A121" s="7" t="inlineStr">
        <is>
          <t>SUBST. MEDIDOR A PEDIDO</t>
        </is>
      </c>
      <c r="B121" s="7" t="inlineStr">
        <is>
          <t>TC Fase A Retirado</t>
        </is>
      </c>
      <c r="C121" s="7" t="inlineStr">
        <is>
          <t>Cs_Informar_TC_FASE_A_Retirado</t>
        </is>
      </c>
      <c r="D121" s="7" t="inlineStr">
        <is>
          <t>CheckBox</t>
        </is>
      </c>
      <c r="E121" s="7" t="inlineStr">
        <is>
          <t>Condicional</t>
        </is>
      </c>
      <c r="F121" s="7" t="inlineStr">
        <is>
          <t>Obrigatorio se Servico = RETIRADO</t>
        </is>
      </c>
    </row>
    <row r="122">
      <c r="A122" s="7" t="inlineStr">
        <is>
          <t>SUBST. MEDIDOR A PEDIDO</t>
        </is>
      </c>
      <c r="B122" s="7" t="inlineStr">
        <is>
          <t>TC Fase B Retirado</t>
        </is>
      </c>
      <c r="C122" s="7" t="inlineStr">
        <is>
          <t>Cs_Informar_TC_FASE_B_Retirado</t>
        </is>
      </c>
      <c r="D122" s="7" t="inlineStr">
        <is>
          <t>CheckBox</t>
        </is>
      </c>
      <c r="E122" s="7" t="inlineStr">
        <is>
          <t>Condicional</t>
        </is>
      </c>
      <c r="F122" s="7" t="inlineStr">
        <is>
          <t>Obrigatorio se Servico = RETIRADO</t>
        </is>
      </c>
    </row>
    <row r="123">
      <c r="A123" s="7" t="inlineStr">
        <is>
          <t>SUBST. MEDIDOR A PEDIDO</t>
        </is>
      </c>
      <c r="B123" s="7" t="inlineStr">
        <is>
          <t>TC Fase C Retirado</t>
        </is>
      </c>
      <c r="C123" s="7" t="inlineStr">
        <is>
          <t>Cs_Informar_TC_FASE_C_Retirado</t>
        </is>
      </c>
      <c r="D123" s="7" t="inlineStr">
        <is>
          <t>CheckBox</t>
        </is>
      </c>
      <c r="E123" s="7" t="inlineStr">
        <is>
          <t>Condicional</t>
        </is>
      </c>
      <c r="F123" s="7" t="inlineStr">
        <is>
          <t>Obrigatorio se Servico = RETIRADO</t>
        </is>
      </c>
    </row>
    <row r="124">
      <c r="A124" s="7" t="inlineStr">
        <is>
          <t>SUBST. MEDIDOR A PEDIDO</t>
        </is>
      </c>
      <c r="B124" s="7" t="inlineStr">
        <is>
          <t>TP Fase A Retirado</t>
        </is>
      </c>
      <c r="C124" s="7" t="inlineStr">
        <is>
          <t>Cs_Informar_TP_FASE_A_Retirado</t>
        </is>
      </c>
      <c r="D124" s="7" t="inlineStr">
        <is>
          <t>CheckBox</t>
        </is>
      </c>
      <c r="E124" s="7" t="inlineStr">
        <is>
          <t>Condicional</t>
        </is>
      </c>
      <c r="F124" s="7" t="inlineStr">
        <is>
          <t>Obrigatorio se Servico = RETIRADO</t>
        </is>
      </c>
    </row>
    <row r="125">
      <c r="A125" s="7" t="inlineStr">
        <is>
          <t>SUBST. MEDIDOR A PEDIDO</t>
        </is>
      </c>
      <c r="B125" s="7" t="inlineStr">
        <is>
          <t>TP Fase B Retirado</t>
        </is>
      </c>
      <c r="C125" s="7" t="inlineStr">
        <is>
          <t>Cs_Informar_TP_FASE_B_Retirado</t>
        </is>
      </c>
      <c r="D125" s="7" t="inlineStr">
        <is>
          <t>CheckBox</t>
        </is>
      </c>
      <c r="E125" s="7" t="inlineStr">
        <is>
          <t>Condicional</t>
        </is>
      </c>
      <c r="F125" s="7" t="inlineStr">
        <is>
          <t>Obrigatorio se Servico = RETIRADO</t>
        </is>
      </c>
    </row>
    <row r="126">
      <c r="A126" s="7" t="inlineStr">
        <is>
          <t>SUBST. MEDIDOR A PEDIDO</t>
        </is>
      </c>
      <c r="B126" s="7" t="inlineStr">
        <is>
          <t>TP Fase C Retirado</t>
        </is>
      </c>
      <c r="C126" s="7" t="inlineStr">
        <is>
          <t>Cs_Informar_TP_FASE_C_Retirado</t>
        </is>
      </c>
      <c r="D126" s="7" t="inlineStr">
        <is>
          <t>CheckBox</t>
        </is>
      </c>
      <c r="E126" s="7" t="inlineStr">
        <is>
          <t>Condicional</t>
        </is>
      </c>
      <c r="F126" s="7" t="inlineStr">
        <is>
          <t>Obrigatorio se Servico = RETIRADO</t>
        </is>
      </c>
    </row>
    <row r="127">
      <c r="A127" s="7" t="inlineStr">
        <is>
          <t>AFERICAO DE MEDIDOR</t>
        </is>
      </c>
      <c r="B127" s="7" t="inlineStr">
        <is>
          <t>Servico Executado</t>
        </is>
      </c>
      <c r="C127" s="7" t="inlineStr">
        <is>
          <t>Ls_Substituicao_de_Equipamentos_Executada</t>
        </is>
      </c>
      <c r="D127" s="7" t="inlineStr">
        <is>
          <t>Spinner</t>
        </is>
      </c>
      <c r="E127" s="7" t="inlineStr">
        <is>
          <t>Sim</t>
        </is>
      </c>
      <c r="F127" s="7" t="inlineStr">
        <is>
          <t>Opcoes: INSTALAR CONJUNTO, RETIRADO, TROCA DE CONJUNTO SEM CRIME, INSTALADO RETIRADO NAO ALTERADO</t>
        </is>
      </c>
    </row>
    <row r="128">
      <c r="A128" s="7" t="inlineStr">
        <is>
          <t>AFERICAO DE MEDIDOR</t>
        </is>
      </c>
      <c r="B128" s="7" t="inlineStr">
        <is>
          <t>Medidor Instalado</t>
        </is>
      </c>
      <c r="C128" s="7" t="inlineStr">
        <is>
          <t>Cs_Informar_Medidor_Instalado</t>
        </is>
      </c>
      <c r="D128" s="7" t="inlineStr">
        <is>
          <t>CheckBox</t>
        </is>
      </c>
      <c r="E128" s="7" t="inlineStr">
        <is>
          <t>Condicional</t>
        </is>
      </c>
      <c r="F128" s="7" t="inlineStr">
        <is>
          <t>Obrigatorio se Servico = INSTALAR CONJUNTO</t>
        </is>
      </c>
    </row>
    <row r="129">
      <c r="A129" s="7" t="inlineStr">
        <is>
          <t>AFERICAO DE MEDIDOR</t>
        </is>
      </c>
      <c r="B129" s="7" t="inlineStr">
        <is>
          <t>Conjunto Instalado</t>
        </is>
      </c>
      <c r="C129" s="7" t="inlineStr">
        <is>
          <t>Cs_Informar_Conjunto_Instalado</t>
        </is>
      </c>
      <c r="D129" s="7" t="inlineStr">
        <is>
          <t>CheckBox</t>
        </is>
      </c>
      <c r="E129" s="7" t="inlineStr">
        <is>
          <t>Condicional</t>
        </is>
      </c>
      <c r="F129" s="7" t="inlineStr">
        <is>
          <t>Obrigatorio se Servico = INSTALAR CONJUNTO</t>
        </is>
      </c>
    </row>
    <row r="130">
      <c r="A130" s="7" t="inlineStr">
        <is>
          <t>AFERICAO DE MEDIDOR</t>
        </is>
      </c>
      <c r="B130" s="7" t="inlineStr">
        <is>
          <t>Display Instalado</t>
        </is>
      </c>
      <c r="C130" s="7" t="inlineStr">
        <is>
          <t>Cs_Informar_Display_Instalado</t>
        </is>
      </c>
      <c r="D130" s="7" t="inlineStr">
        <is>
          <t>CheckBox</t>
        </is>
      </c>
      <c r="E130" s="7" t="inlineStr">
        <is>
          <t>Condicional</t>
        </is>
      </c>
      <c r="F130" s="7" t="inlineStr">
        <is>
          <t>Obrigatorio se Servico = INSTALAR CONJUNTO</t>
        </is>
      </c>
    </row>
    <row r="131">
      <c r="A131" s="7" t="inlineStr">
        <is>
          <t>AFERICAO DE MEDIDOR</t>
        </is>
      </c>
      <c r="B131" s="7" t="inlineStr">
        <is>
          <t>TC Fase A Instalado</t>
        </is>
      </c>
      <c r="C131" s="7" t="inlineStr">
        <is>
          <t>Cs_Informar_TC_FASE_A_Instalado</t>
        </is>
      </c>
      <c r="D131" s="7" t="inlineStr">
        <is>
          <t>CheckBox</t>
        </is>
      </c>
      <c r="E131" s="7" t="inlineStr">
        <is>
          <t>Condicional</t>
        </is>
      </c>
      <c r="F131" s="7" t="inlineStr">
        <is>
          <t>Obrigatorio se Servico = INSTALAR CONJUNTO</t>
        </is>
      </c>
    </row>
    <row r="132">
      <c r="A132" s="7" t="inlineStr">
        <is>
          <t>AFERICAO DE MEDIDOR</t>
        </is>
      </c>
      <c r="B132" s="7" t="inlineStr">
        <is>
          <t>TC Fase B Instalado</t>
        </is>
      </c>
      <c r="C132" s="7" t="inlineStr">
        <is>
          <t>Cs_Informar_TC_FASE_B_Instalado</t>
        </is>
      </c>
      <c r="D132" s="7" t="inlineStr">
        <is>
          <t>CheckBox</t>
        </is>
      </c>
      <c r="E132" s="7" t="inlineStr">
        <is>
          <t>Condicional</t>
        </is>
      </c>
      <c r="F132" s="7" t="inlineStr">
        <is>
          <t>Obrigatorio se Servico = INSTALAR CONJUNTO</t>
        </is>
      </c>
    </row>
    <row r="133">
      <c r="A133" s="7" t="inlineStr">
        <is>
          <t>AFERICAO DE MEDIDOR</t>
        </is>
      </c>
      <c r="B133" s="7" t="inlineStr">
        <is>
          <t>TC Fase C Instalado</t>
        </is>
      </c>
      <c r="C133" s="7" t="inlineStr">
        <is>
          <t>Cs_Informar_TC_FASE_C_Instalado</t>
        </is>
      </c>
      <c r="D133" s="7" t="inlineStr">
        <is>
          <t>CheckBox</t>
        </is>
      </c>
      <c r="E133" s="7" t="inlineStr">
        <is>
          <t>Condicional</t>
        </is>
      </c>
      <c r="F133" s="7" t="inlineStr">
        <is>
          <t>Obrigatorio se Servico = INSTALAR CONJUNTO</t>
        </is>
      </c>
    </row>
    <row r="134">
      <c r="A134" s="7" t="inlineStr">
        <is>
          <t>AFERICAO DE MEDIDOR</t>
        </is>
      </c>
      <c r="B134" s="7" t="inlineStr">
        <is>
          <t>TP Fase A Instalado</t>
        </is>
      </c>
      <c r="C134" s="7" t="inlineStr">
        <is>
          <t>Cs_Informar_TP_FASE_A_Instalado</t>
        </is>
      </c>
      <c r="D134" s="7" t="inlineStr">
        <is>
          <t>CheckBox</t>
        </is>
      </c>
      <c r="E134" s="7" t="inlineStr">
        <is>
          <t>Condicional</t>
        </is>
      </c>
      <c r="F134" s="7" t="inlineStr">
        <is>
          <t>Obrigatorio se Servico = INSTALAR CONJUNTO</t>
        </is>
      </c>
    </row>
    <row r="135">
      <c r="A135" s="7" t="inlineStr">
        <is>
          <t>AFERICAO DE MEDIDOR</t>
        </is>
      </c>
      <c r="B135" s="7" t="inlineStr">
        <is>
          <t>TP Fase B Instalado</t>
        </is>
      </c>
      <c r="C135" s="7" t="inlineStr">
        <is>
          <t>Cs_Informar_TP_FASE_B_Instalado</t>
        </is>
      </c>
      <c r="D135" s="7" t="inlineStr">
        <is>
          <t>CheckBox</t>
        </is>
      </c>
      <c r="E135" s="7" t="inlineStr">
        <is>
          <t>Condicional</t>
        </is>
      </c>
      <c r="F135" s="7" t="inlineStr">
        <is>
          <t>Obrigatorio se Servico = INSTALAR CONJUNTO</t>
        </is>
      </c>
    </row>
    <row r="136">
      <c r="A136" s="7" t="inlineStr">
        <is>
          <t>AFERICAO DE MEDIDOR</t>
        </is>
      </c>
      <c r="B136" s="7" t="inlineStr">
        <is>
          <t>TP Fase C Instalado</t>
        </is>
      </c>
      <c r="C136" s="7" t="inlineStr">
        <is>
          <t>Cs_Informar_TP_FASE_C_Instalado</t>
        </is>
      </c>
      <c r="D136" s="7" t="inlineStr">
        <is>
          <t>CheckBox</t>
        </is>
      </c>
      <c r="E136" s="7" t="inlineStr">
        <is>
          <t>Condicional</t>
        </is>
      </c>
      <c r="F136" s="7" t="inlineStr">
        <is>
          <t>Obrigatorio se Servico = INSTALAR CONJUNTO</t>
        </is>
      </c>
    </row>
    <row r="137">
      <c r="A137" s="7" t="inlineStr">
        <is>
          <t>AFERICAO DE MEDIDOR</t>
        </is>
      </c>
      <c r="B137" s="7" t="inlineStr">
        <is>
          <t>Medidor Retirado</t>
        </is>
      </c>
      <c r="C137" s="7" t="inlineStr">
        <is>
          <t>Cs_Informar_Medidor_Retirado</t>
        </is>
      </c>
      <c r="D137" s="7" t="inlineStr">
        <is>
          <t>CheckBox</t>
        </is>
      </c>
      <c r="E137" s="7" t="inlineStr">
        <is>
          <t>Condicional</t>
        </is>
      </c>
      <c r="F137" s="7" t="inlineStr">
        <is>
          <t>Obrigatorio se Servico = RETIRADO</t>
        </is>
      </c>
    </row>
    <row r="138">
      <c r="A138" s="7" t="inlineStr">
        <is>
          <t>AFERICAO DE MEDIDOR</t>
        </is>
      </c>
      <c r="B138" s="7" t="inlineStr">
        <is>
          <t>Conjunto Retirado</t>
        </is>
      </c>
      <c r="C138" s="7" t="inlineStr">
        <is>
          <t>Cs_Informar_Conjunto_Retirado</t>
        </is>
      </c>
      <c r="D138" s="7" t="inlineStr">
        <is>
          <t>CheckBox</t>
        </is>
      </c>
      <c r="E138" s="7" t="inlineStr">
        <is>
          <t>Condicional</t>
        </is>
      </c>
      <c r="F138" s="7" t="inlineStr">
        <is>
          <t>Obrigatorio se Servico = RETIRADO</t>
        </is>
      </c>
    </row>
    <row r="139">
      <c r="A139" s="7" t="inlineStr">
        <is>
          <t>AFERICAO DE MEDIDOR</t>
        </is>
      </c>
      <c r="B139" s="7" t="inlineStr">
        <is>
          <t>Display Retirado</t>
        </is>
      </c>
      <c r="C139" s="7" t="inlineStr">
        <is>
          <t>Cs_Informar_Display_Retirado</t>
        </is>
      </c>
      <c r="D139" s="7" t="inlineStr">
        <is>
          <t>CheckBox</t>
        </is>
      </c>
      <c r="E139" s="7" t="inlineStr">
        <is>
          <t>Condicional</t>
        </is>
      </c>
      <c r="F139" s="7" t="inlineStr">
        <is>
          <t>Obrigatorio se Servico = RETIRADO</t>
        </is>
      </c>
    </row>
    <row r="140">
      <c r="A140" s="7" t="inlineStr">
        <is>
          <t>AFERICAO DE MEDIDOR</t>
        </is>
      </c>
      <c r="B140" s="7" t="inlineStr">
        <is>
          <t>TC Fase A Retirado</t>
        </is>
      </c>
      <c r="C140" s="7" t="inlineStr">
        <is>
          <t>Cs_Informar_TC_FASE_A_Retirado</t>
        </is>
      </c>
      <c r="D140" s="7" t="inlineStr">
        <is>
          <t>CheckBox</t>
        </is>
      </c>
      <c r="E140" s="7" t="inlineStr">
        <is>
          <t>Condicional</t>
        </is>
      </c>
      <c r="F140" s="7" t="inlineStr">
        <is>
          <t>Obrigatorio se Servico = RETIRADO</t>
        </is>
      </c>
    </row>
    <row r="141">
      <c r="A141" s="7" t="inlineStr">
        <is>
          <t>AFERICAO DE MEDIDOR</t>
        </is>
      </c>
      <c r="B141" s="7" t="inlineStr">
        <is>
          <t>TC Fase B Retirado</t>
        </is>
      </c>
      <c r="C141" s="7" t="inlineStr">
        <is>
          <t>Cs_Informar_TC_FASE_B_Retirado</t>
        </is>
      </c>
      <c r="D141" s="7" t="inlineStr">
        <is>
          <t>CheckBox</t>
        </is>
      </c>
      <c r="E141" s="7" t="inlineStr">
        <is>
          <t>Condicional</t>
        </is>
      </c>
      <c r="F141" s="7" t="inlineStr">
        <is>
          <t>Obrigatorio se Servico = RETIRADO</t>
        </is>
      </c>
    </row>
    <row r="142">
      <c r="A142" s="7" t="inlineStr">
        <is>
          <t>AFERICAO DE MEDIDOR</t>
        </is>
      </c>
      <c r="B142" s="7" t="inlineStr">
        <is>
          <t>TC Fase C Retirado</t>
        </is>
      </c>
      <c r="C142" s="7" t="inlineStr">
        <is>
          <t>Cs_Informar_TC_FASE_C_Retirado</t>
        </is>
      </c>
      <c r="D142" s="7" t="inlineStr">
        <is>
          <t>CheckBox</t>
        </is>
      </c>
      <c r="E142" s="7" t="inlineStr">
        <is>
          <t>Condicional</t>
        </is>
      </c>
      <c r="F142" s="7" t="inlineStr">
        <is>
          <t>Obrigatorio se Servico = RETIRADO</t>
        </is>
      </c>
    </row>
    <row r="143">
      <c r="A143" s="7" t="inlineStr">
        <is>
          <t>AFERICAO DE MEDIDOR</t>
        </is>
      </c>
      <c r="B143" s="7" t="inlineStr">
        <is>
          <t>TP Fase A Retirado</t>
        </is>
      </c>
      <c r="C143" s="7" t="inlineStr">
        <is>
          <t>Cs_Informar_TP_FASE_A_Retirado</t>
        </is>
      </c>
      <c r="D143" s="7" t="inlineStr">
        <is>
          <t>CheckBox</t>
        </is>
      </c>
      <c r="E143" s="7" t="inlineStr">
        <is>
          <t>Condicional</t>
        </is>
      </c>
      <c r="F143" s="7" t="inlineStr">
        <is>
          <t>Obrigatorio se Servico = RETIRADO</t>
        </is>
      </c>
    </row>
    <row r="144">
      <c r="A144" s="7" t="inlineStr">
        <is>
          <t>AFERICAO DE MEDIDOR</t>
        </is>
      </c>
      <c r="B144" s="7" t="inlineStr">
        <is>
          <t>TP Fase B Retirado</t>
        </is>
      </c>
      <c r="C144" s="7" t="inlineStr">
        <is>
          <t>Cs_Informar_TP_FASE_B_Retirado</t>
        </is>
      </c>
      <c r="D144" s="7" t="inlineStr">
        <is>
          <t>CheckBox</t>
        </is>
      </c>
      <c r="E144" s="7" t="inlineStr">
        <is>
          <t>Condicional</t>
        </is>
      </c>
      <c r="F144" s="7" t="inlineStr">
        <is>
          <t>Obrigatorio se Servico = RETIRADO</t>
        </is>
      </c>
    </row>
    <row r="145">
      <c r="A145" s="7" t="inlineStr">
        <is>
          <t>AFERICAO DE MEDIDOR</t>
        </is>
      </c>
      <c r="B145" s="7" t="inlineStr">
        <is>
          <t>TP Fase C Retirado</t>
        </is>
      </c>
      <c r="C145" s="7" t="inlineStr">
        <is>
          <t>Cs_Informar_TP_FASE_C_Retirado</t>
        </is>
      </c>
      <c r="D145" s="7" t="inlineStr">
        <is>
          <t>CheckBox</t>
        </is>
      </c>
      <c r="E145" s="7" t="inlineStr">
        <is>
          <t>Condicional</t>
        </is>
      </c>
      <c r="F145" s="7" t="inlineStr">
        <is>
          <t>Obrigatorio se Servico = RETIRADO</t>
        </is>
      </c>
    </row>
    <row r="146">
      <c r="A146" s="7" t="inlineStr">
        <is>
          <t>SUBST. DE EQUIPAMENTO DE MEDICAO</t>
        </is>
      </c>
      <c r="B146" s="7" t="inlineStr">
        <is>
          <t>Servico Executado</t>
        </is>
      </c>
      <c r="C146" s="7" t="inlineStr">
        <is>
          <t>Ls_Substituicao_de_Equipamentos_Executada</t>
        </is>
      </c>
      <c r="D146" s="7" t="inlineStr">
        <is>
          <t>Spinner</t>
        </is>
      </c>
      <c r="E146" s="7" t="inlineStr">
        <is>
          <t>Sim</t>
        </is>
      </c>
      <c r="F146" s="7" t="inlineStr">
        <is>
          <t>Opcoes: INSTALAR CONJUNTO, RETIRADO, TROCA DE CONJUNTO SEM CRIME, INSTALADO RETIRADO NAO ALTERADO</t>
        </is>
      </c>
    </row>
    <row r="147">
      <c r="A147" s="7" t="inlineStr">
        <is>
          <t>SUBST. DE EQUIPAMENTO DE MEDICAO</t>
        </is>
      </c>
      <c r="B147" s="7" t="inlineStr">
        <is>
          <t>Medidor Instalado</t>
        </is>
      </c>
      <c r="C147" s="7" t="inlineStr">
        <is>
          <t>Cs_Informar_Medidor_Instalado</t>
        </is>
      </c>
      <c r="D147" s="7" t="inlineStr">
        <is>
          <t>CheckBox</t>
        </is>
      </c>
      <c r="E147" s="7" t="inlineStr">
        <is>
          <t>Condicional</t>
        </is>
      </c>
      <c r="F147" s="7" t="inlineStr">
        <is>
          <t>Obrigatorio se Servico = INSTALAR CONJUNTO</t>
        </is>
      </c>
    </row>
    <row r="148">
      <c r="A148" s="7" t="inlineStr">
        <is>
          <t>SUBST. DE EQUIPAMENTO DE MEDICAO</t>
        </is>
      </c>
      <c r="B148" s="7" t="inlineStr">
        <is>
          <t>Conjunto Instalado</t>
        </is>
      </c>
      <c r="C148" s="7" t="inlineStr">
        <is>
          <t>Cs_Informar_Conjunto_Instalado</t>
        </is>
      </c>
      <c r="D148" s="7" t="inlineStr">
        <is>
          <t>CheckBox</t>
        </is>
      </c>
      <c r="E148" s="7" t="inlineStr">
        <is>
          <t>Condicional</t>
        </is>
      </c>
      <c r="F148" s="7" t="inlineStr">
        <is>
          <t>Obrigatorio se Servico = INSTALAR CONJUNTO</t>
        </is>
      </c>
    </row>
    <row r="149">
      <c r="A149" s="7" t="inlineStr">
        <is>
          <t>SUBST. DE EQUIPAMENTO DE MEDICAO</t>
        </is>
      </c>
      <c r="B149" s="7" t="inlineStr">
        <is>
          <t>Display Instalado</t>
        </is>
      </c>
      <c r="C149" s="7" t="inlineStr">
        <is>
          <t>Cs_Informar_Display_Instalado</t>
        </is>
      </c>
      <c r="D149" s="7" t="inlineStr">
        <is>
          <t>CheckBox</t>
        </is>
      </c>
      <c r="E149" s="7" t="inlineStr">
        <is>
          <t>Condicional</t>
        </is>
      </c>
      <c r="F149" s="7" t="inlineStr">
        <is>
          <t>Obrigatorio se Servico = INSTALAR CONJUNTO</t>
        </is>
      </c>
    </row>
    <row r="150">
      <c r="A150" s="7" t="inlineStr">
        <is>
          <t>SUBST. DE EQUIPAMENTO DE MEDICAO</t>
        </is>
      </c>
      <c r="B150" s="7" t="inlineStr">
        <is>
          <t>TC Fase A Instalado</t>
        </is>
      </c>
      <c r="C150" s="7" t="inlineStr">
        <is>
          <t>Cs_Informar_TC_FASE_A_Instalado</t>
        </is>
      </c>
      <c r="D150" s="7" t="inlineStr">
        <is>
          <t>CheckBox</t>
        </is>
      </c>
      <c r="E150" s="7" t="inlineStr">
        <is>
          <t>Condicional</t>
        </is>
      </c>
      <c r="F150" s="7" t="inlineStr">
        <is>
          <t>Obrigatorio se Servico = INSTALAR CONJUNTO</t>
        </is>
      </c>
    </row>
    <row r="151">
      <c r="A151" s="7" t="inlineStr">
        <is>
          <t>SUBST. DE EQUIPAMENTO DE MEDICAO</t>
        </is>
      </c>
      <c r="B151" s="7" t="inlineStr">
        <is>
          <t>TC Fase B Instalado</t>
        </is>
      </c>
      <c r="C151" s="7" t="inlineStr">
        <is>
          <t>Cs_Informar_TC_FASE_B_Instalado</t>
        </is>
      </c>
      <c r="D151" s="7" t="inlineStr">
        <is>
          <t>CheckBox</t>
        </is>
      </c>
      <c r="E151" s="7" t="inlineStr">
        <is>
          <t>Condicional</t>
        </is>
      </c>
      <c r="F151" s="7" t="inlineStr">
        <is>
          <t>Obrigatorio se Servico = INSTALAR CONJUNTO</t>
        </is>
      </c>
    </row>
    <row r="152">
      <c r="A152" s="7" t="inlineStr">
        <is>
          <t>SUBST. DE EQUIPAMENTO DE MEDICAO</t>
        </is>
      </c>
      <c r="B152" s="7" t="inlineStr">
        <is>
          <t>TC Fase C Instalado</t>
        </is>
      </c>
      <c r="C152" s="7" t="inlineStr">
        <is>
          <t>Cs_Informar_TC_FASE_C_Instalado</t>
        </is>
      </c>
      <c r="D152" s="7" t="inlineStr">
        <is>
          <t>CheckBox</t>
        </is>
      </c>
      <c r="E152" s="7" t="inlineStr">
        <is>
          <t>Condicional</t>
        </is>
      </c>
      <c r="F152" s="7" t="inlineStr">
        <is>
          <t>Obrigatorio se Servico = INSTALAR CONJUNTO</t>
        </is>
      </c>
    </row>
    <row r="153">
      <c r="A153" s="7" t="inlineStr">
        <is>
          <t>SUBST. DE EQUIPAMENTO DE MEDICAO</t>
        </is>
      </c>
      <c r="B153" s="7" t="inlineStr">
        <is>
          <t>TP Fase A Instalado</t>
        </is>
      </c>
      <c r="C153" s="7" t="inlineStr">
        <is>
          <t>Cs_Informar_TP_FASE_A_Instalado</t>
        </is>
      </c>
      <c r="D153" s="7" t="inlineStr">
        <is>
          <t>CheckBox</t>
        </is>
      </c>
      <c r="E153" s="7" t="inlineStr">
        <is>
          <t>Condicional</t>
        </is>
      </c>
      <c r="F153" s="7" t="inlineStr">
        <is>
          <t>Obrigatorio se Servico = INSTALAR CONJUNTO</t>
        </is>
      </c>
    </row>
    <row r="154">
      <c r="A154" s="7" t="inlineStr">
        <is>
          <t>SUBST. DE EQUIPAMENTO DE MEDICAO</t>
        </is>
      </c>
      <c r="B154" s="7" t="inlineStr">
        <is>
          <t>TP Fase B Instalado</t>
        </is>
      </c>
      <c r="C154" s="7" t="inlineStr">
        <is>
          <t>Cs_Informar_TP_FASE_B_Instalado</t>
        </is>
      </c>
      <c r="D154" s="7" t="inlineStr">
        <is>
          <t>CheckBox</t>
        </is>
      </c>
      <c r="E154" s="7" t="inlineStr">
        <is>
          <t>Condicional</t>
        </is>
      </c>
      <c r="F154" s="7" t="inlineStr">
        <is>
          <t>Obrigatorio se Servico = INSTALAR CONJUNTO</t>
        </is>
      </c>
    </row>
    <row r="155">
      <c r="A155" s="7" t="inlineStr">
        <is>
          <t>SUBST. DE EQUIPAMENTO DE MEDICAO</t>
        </is>
      </c>
      <c r="B155" s="7" t="inlineStr">
        <is>
          <t>TP Fase C Instalado</t>
        </is>
      </c>
      <c r="C155" s="7" t="inlineStr">
        <is>
          <t>Cs_Informar_TP_FASE_C_Instalado</t>
        </is>
      </c>
      <c r="D155" s="7" t="inlineStr">
        <is>
          <t>CheckBox</t>
        </is>
      </c>
      <c r="E155" s="7" t="inlineStr">
        <is>
          <t>Condicional</t>
        </is>
      </c>
      <c r="F155" s="7" t="inlineStr">
        <is>
          <t>Obrigatorio se Servico = INSTALAR CONJUNTO</t>
        </is>
      </c>
    </row>
    <row r="156">
      <c r="A156" s="7" t="inlineStr">
        <is>
          <t>SUBST. DE EQUIPAMENTO DE MEDICAO</t>
        </is>
      </c>
      <c r="B156" s="7" t="inlineStr">
        <is>
          <t>Medidor Retirado</t>
        </is>
      </c>
      <c r="C156" s="7" t="inlineStr">
        <is>
          <t>Cs_Informar_Medidor_Retirado</t>
        </is>
      </c>
      <c r="D156" s="7" t="inlineStr">
        <is>
          <t>CheckBox</t>
        </is>
      </c>
      <c r="E156" s="7" t="inlineStr">
        <is>
          <t>Condicional</t>
        </is>
      </c>
      <c r="F156" s="7" t="inlineStr">
        <is>
          <t>Obrigatorio se Servico = RETIRADO</t>
        </is>
      </c>
    </row>
    <row r="157">
      <c r="A157" s="7" t="inlineStr">
        <is>
          <t>SUBST. DE EQUIPAMENTO DE MEDICAO</t>
        </is>
      </c>
      <c r="B157" s="7" t="inlineStr">
        <is>
          <t>Conjunto Retirado</t>
        </is>
      </c>
      <c r="C157" s="7" t="inlineStr">
        <is>
          <t>Cs_Informar_Conjunto_Retirado</t>
        </is>
      </c>
      <c r="D157" s="7" t="inlineStr">
        <is>
          <t>CheckBox</t>
        </is>
      </c>
      <c r="E157" s="7" t="inlineStr">
        <is>
          <t>Condicional</t>
        </is>
      </c>
      <c r="F157" s="7" t="inlineStr">
        <is>
          <t>Obrigatorio se Servico = RETIRADO</t>
        </is>
      </c>
    </row>
    <row r="158">
      <c r="A158" s="7" t="inlineStr">
        <is>
          <t>SUBST. DE EQUIPAMENTO DE MEDICAO</t>
        </is>
      </c>
      <c r="B158" s="7" t="inlineStr">
        <is>
          <t>Display Retirado</t>
        </is>
      </c>
      <c r="C158" s="7" t="inlineStr">
        <is>
          <t>Cs_Informar_Display_Retirado</t>
        </is>
      </c>
      <c r="D158" s="7" t="inlineStr">
        <is>
          <t>CheckBox</t>
        </is>
      </c>
      <c r="E158" s="7" t="inlineStr">
        <is>
          <t>Condicional</t>
        </is>
      </c>
      <c r="F158" s="7" t="inlineStr">
        <is>
          <t>Obrigatorio se Servico = RETIRADO</t>
        </is>
      </c>
    </row>
    <row r="159">
      <c r="A159" s="7" t="inlineStr">
        <is>
          <t>SUBST. DE EQUIPAMENTO DE MEDICAO</t>
        </is>
      </c>
      <c r="B159" s="7" t="inlineStr">
        <is>
          <t>TC Fase A Retirado</t>
        </is>
      </c>
      <c r="C159" s="7" t="inlineStr">
        <is>
          <t>Cs_Informar_TC_FASE_A_Retirado</t>
        </is>
      </c>
      <c r="D159" s="7" t="inlineStr">
        <is>
          <t>CheckBox</t>
        </is>
      </c>
      <c r="E159" s="7" t="inlineStr">
        <is>
          <t>Condicional</t>
        </is>
      </c>
      <c r="F159" s="7" t="inlineStr">
        <is>
          <t>Obrigatorio se Servico = RETIRADO</t>
        </is>
      </c>
    </row>
    <row r="160">
      <c r="A160" s="7" t="inlineStr">
        <is>
          <t>SUBST. DE EQUIPAMENTO DE MEDICAO</t>
        </is>
      </c>
      <c r="B160" s="7" t="inlineStr">
        <is>
          <t>TC Fase B Retirado</t>
        </is>
      </c>
      <c r="C160" s="7" t="inlineStr">
        <is>
          <t>Cs_Informar_TC_FASE_B_Retirado</t>
        </is>
      </c>
      <c r="D160" s="7" t="inlineStr">
        <is>
          <t>CheckBox</t>
        </is>
      </c>
      <c r="E160" s="7" t="inlineStr">
        <is>
          <t>Condicional</t>
        </is>
      </c>
      <c r="F160" s="7" t="inlineStr">
        <is>
          <t>Obrigatorio se Servico = RETIRADO</t>
        </is>
      </c>
    </row>
    <row r="161">
      <c r="A161" s="7" t="inlineStr">
        <is>
          <t>SUBST. DE EQUIPAMENTO DE MEDICAO</t>
        </is>
      </c>
      <c r="B161" s="7" t="inlineStr">
        <is>
          <t>TC Fase C Retirado</t>
        </is>
      </c>
      <c r="C161" s="7" t="inlineStr">
        <is>
          <t>Cs_Informar_TC_FASE_C_Retirado</t>
        </is>
      </c>
      <c r="D161" s="7" t="inlineStr">
        <is>
          <t>CheckBox</t>
        </is>
      </c>
      <c r="E161" s="7" t="inlineStr">
        <is>
          <t>Condicional</t>
        </is>
      </c>
      <c r="F161" s="7" t="inlineStr">
        <is>
          <t>Obrigatorio se Servico = RETIRADO</t>
        </is>
      </c>
    </row>
    <row r="162">
      <c r="A162" s="7" t="inlineStr">
        <is>
          <t>SUBST. DE EQUIPAMENTO DE MEDICAO</t>
        </is>
      </c>
      <c r="B162" s="7" t="inlineStr">
        <is>
          <t>TP Fase A Retirado</t>
        </is>
      </c>
      <c r="C162" s="7" t="inlineStr">
        <is>
          <t>Cs_Informar_TP_FASE_A_Retirado</t>
        </is>
      </c>
      <c r="D162" s="7" t="inlineStr">
        <is>
          <t>CheckBox</t>
        </is>
      </c>
      <c r="E162" s="7" t="inlineStr">
        <is>
          <t>Condicional</t>
        </is>
      </c>
      <c r="F162" s="7" t="inlineStr">
        <is>
          <t>Obrigatorio se Servico = RETIRADO</t>
        </is>
      </c>
    </row>
    <row r="163">
      <c r="A163" s="7" t="inlineStr">
        <is>
          <t>SUBST. DE EQUIPAMENTO DE MEDICAO</t>
        </is>
      </c>
      <c r="B163" s="7" t="inlineStr">
        <is>
          <t>TP Fase B Retirado</t>
        </is>
      </c>
      <c r="C163" s="7" t="inlineStr">
        <is>
          <t>Cs_Informar_TP_FASE_B_Retirado</t>
        </is>
      </c>
      <c r="D163" s="7" t="inlineStr">
        <is>
          <t>CheckBox</t>
        </is>
      </c>
      <c r="E163" s="7" t="inlineStr">
        <is>
          <t>Condicional</t>
        </is>
      </c>
      <c r="F163" s="7" t="inlineStr">
        <is>
          <t>Obrigatorio se Servico = RETIRADO</t>
        </is>
      </c>
    </row>
    <row r="164">
      <c r="A164" s="7" t="inlineStr">
        <is>
          <t>SUBST. DE EQUIPAMENTO DE MEDICAO</t>
        </is>
      </c>
      <c r="B164" s="7" t="inlineStr">
        <is>
          <t>TP Fase C Retirado</t>
        </is>
      </c>
      <c r="C164" s="7" t="inlineStr">
        <is>
          <t>Cs_Informar_TP_FASE_C_Retirado</t>
        </is>
      </c>
      <c r="D164" s="7" t="inlineStr">
        <is>
          <t>CheckBox</t>
        </is>
      </c>
      <c r="E164" s="7" t="inlineStr">
        <is>
          <t>Condicional</t>
        </is>
      </c>
      <c r="F164" s="7" t="inlineStr">
        <is>
          <t>Obrigatorio se Servico = RETIRADO</t>
        </is>
      </c>
    </row>
    <row r="165">
      <c r="A165" s="7" t="inlineStr">
        <is>
          <t>EXECUCAO DO DECRESCIMO DE POTENCIA</t>
        </is>
      </c>
      <c r="B165" s="7" t="inlineStr">
        <is>
          <t>Servico Executado</t>
        </is>
      </c>
      <c r="C165" s="7" t="inlineStr">
        <is>
          <t>Ls_Substituicao_de_Equipamentos_Executada</t>
        </is>
      </c>
      <c r="D165" s="7" t="inlineStr">
        <is>
          <t>Spinner</t>
        </is>
      </c>
      <c r="E165" s="7" t="inlineStr">
        <is>
          <t>Sim</t>
        </is>
      </c>
      <c r="F165" s="7" t="inlineStr">
        <is>
          <t>Opcoes: INSTALAR CONJUNTO, RETIRADO, TROCA DE CONJUNTO SEM CRIME, INSTALADO RETIRADO NAO ALTERADO</t>
        </is>
      </c>
    </row>
    <row r="166">
      <c r="A166" s="7" t="inlineStr">
        <is>
          <t>EXECUCAO DO DECRESCIMO DE POTENCIA</t>
        </is>
      </c>
      <c r="B166" s="7" t="inlineStr">
        <is>
          <t>Medidor Instalado</t>
        </is>
      </c>
      <c r="C166" s="7" t="inlineStr">
        <is>
          <t>Cs_Informar_Medidor_Instalado</t>
        </is>
      </c>
      <c r="D166" s="7" t="inlineStr">
        <is>
          <t>CheckBox</t>
        </is>
      </c>
      <c r="E166" s="7" t="inlineStr">
        <is>
          <t>Condicional</t>
        </is>
      </c>
      <c r="F166" s="7" t="inlineStr">
        <is>
          <t>Obrigatorio se Servico = INSTALAR CONJUNTO</t>
        </is>
      </c>
    </row>
    <row r="167">
      <c r="A167" s="7" t="inlineStr">
        <is>
          <t>EXECUCAO DO DECRESCIMO DE POTENCIA</t>
        </is>
      </c>
      <c r="B167" s="7" t="inlineStr">
        <is>
          <t>Conjunto Instalado</t>
        </is>
      </c>
      <c r="C167" s="7" t="inlineStr">
        <is>
          <t>Cs_Informar_Conjunto_Instalado</t>
        </is>
      </c>
      <c r="D167" s="7" t="inlineStr">
        <is>
          <t>CheckBox</t>
        </is>
      </c>
      <c r="E167" s="7" t="inlineStr">
        <is>
          <t>Condicional</t>
        </is>
      </c>
      <c r="F167" s="7" t="inlineStr">
        <is>
          <t>Obrigatorio se Servico = INSTALAR CONJUNTO</t>
        </is>
      </c>
    </row>
    <row r="168">
      <c r="A168" s="7" t="inlineStr">
        <is>
          <t>EXECUCAO DO DECRESCIMO DE POTENCIA</t>
        </is>
      </c>
      <c r="B168" s="7" t="inlineStr">
        <is>
          <t>Display Instalado</t>
        </is>
      </c>
      <c r="C168" s="7" t="inlineStr">
        <is>
          <t>Cs_Informar_Display_Instalado</t>
        </is>
      </c>
      <c r="D168" s="7" t="inlineStr">
        <is>
          <t>CheckBox</t>
        </is>
      </c>
      <c r="E168" s="7" t="inlineStr">
        <is>
          <t>Condicional</t>
        </is>
      </c>
      <c r="F168" s="7" t="inlineStr">
        <is>
          <t>Obrigatorio se Servico = INSTALAR CONJUNTO</t>
        </is>
      </c>
    </row>
    <row r="169">
      <c r="A169" s="7" t="inlineStr">
        <is>
          <t>EXECUCAO DO DECRESCIMO DE POTENCIA</t>
        </is>
      </c>
      <c r="B169" s="7" t="inlineStr">
        <is>
          <t>TC Fase A Instalado</t>
        </is>
      </c>
      <c r="C169" s="7" t="inlineStr">
        <is>
          <t>Cs_Informar_TC_FASE_A_Instalado</t>
        </is>
      </c>
      <c r="D169" s="7" t="inlineStr">
        <is>
          <t>CheckBox</t>
        </is>
      </c>
      <c r="E169" s="7" t="inlineStr">
        <is>
          <t>Condicional</t>
        </is>
      </c>
      <c r="F169" s="7" t="inlineStr">
        <is>
          <t>Obrigatorio se Servico = INSTALAR CONJUNTO</t>
        </is>
      </c>
    </row>
    <row r="170">
      <c r="A170" s="7" t="inlineStr">
        <is>
          <t>EXECUCAO DO DECRESCIMO DE POTENCIA</t>
        </is>
      </c>
      <c r="B170" s="7" t="inlineStr">
        <is>
          <t>TC Fase B Instalado</t>
        </is>
      </c>
      <c r="C170" s="7" t="inlineStr">
        <is>
          <t>Cs_Informar_TC_FASE_B_Instalado</t>
        </is>
      </c>
      <c r="D170" s="7" t="inlineStr">
        <is>
          <t>CheckBox</t>
        </is>
      </c>
      <c r="E170" s="7" t="inlineStr">
        <is>
          <t>Condicional</t>
        </is>
      </c>
      <c r="F170" s="7" t="inlineStr">
        <is>
          <t>Obrigatorio se Servico = INSTALAR CONJUNTO</t>
        </is>
      </c>
    </row>
    <row r="171">
      <c r="A171" s="7" t="inlineStr">
        <is>
          <t>EXECUCAO DO DECRESCIMO DE POTENCIA</t>
        </is>
      </c>
      <c r="B171" s="7" t="inlineStr">
        <is>
          <t>TC Fase C Instalado</t>
        </is>
      </c>
      <c r="C171" s="7" t="inlineStr">
        <is>
          <t>Cs_Informar_TC_FASE_C_Instalado</t>
        </is>
      </c>
      <c r="D171" s="7" t="inlineStr">
        <is>
          <t>CheckBox</t>
        </is>
      </c>
      <c r="E171" s="7" t="inlineStr">
        <is>
          <t>Condicional</t>
        </is>
      </c>
      <c r="F171" s="7" t="inlineStr">
        <is>
          <t>Obrigatorio se Servico = INSTALAR CONJUNTO</t>
        </is>
      </c>
    </row>
    <row r="172">
      <c r="A172" s="7" t="inlineStr">
        <is>
          <t>EXECUCAO DO DECRESCIMO DE POTENCIA</t>
        </is>
      </c>
      <c r="B172" s="7" t="inlineStr">
        <is>
          <t>TP Fase A Instalado</t>
        </is>
      </c>
      <c r="C172" s="7" t="inlineStr">
        <is>
          <t>Cs_Informar_TP_FASE_A_Instalado</t>
        </is>
      </c>
      <c r="D172" s="7" t="inlineStr">
        <is>
          <t>CheckBox</t>
        </is>
      </c>
      <c r="E172" s="7" t="inlineStr">
        <is>
          <t>Condicional</t>
        </is>
      </c>
      <c r="F172" s="7" t="inlineStr">
        <is>
          <t>Obrigatorio se Servico = INSTALAR CONJUNTO</t>
        </is>
      </c>
    </row>
    <row r="173">
      <c r="A173" s="7" t="inlineStr">
        <is>
          <t>EXECUCAO DO DECRESCIMO DE POTENCIA</t>
        </is>
      </c>
      <c r="B173" s="7" t="inlineStr">
        <is>
          <t>TP Fase B Instalado</t>
        </is>
      </c>
      <c r="C173" s="7" t="inlineStr">
        <is>
          <t>Cs_Informar_TP_FASE_B_Instalado</t>
        </is>
      </c>
      <c r="D173" s="7" t="inlineStr">
        <is>
          <t>CheckBox</t>
        </is>
      </c>
      <c r="E173" s="7" t="inlineStr">
        <is>
          <t>Condicional</t>
        </is>
      </c>
      <c r="F173" s="7" t="inlineStr">
        <is>
          <t>Obrigatorio se Servico = INSTALAR CONJUNTO</t>
        </is>
      </c>
    </row>
    <row r="174">
      <c r="A174" s="7" t="inlineStr">
        <is>
          <t>EXECUCAO DO DECRESCIMO DE POTENCIA</t>
        </is>
      </c>
      <c r="B174" s="7" t="inlineStr">
        <is>
          <t>TP Fase C Instalado</t>
        </is>
      </c>
      <c r="C174" s="7" t="inlineStr">
        <is>
          <t>Cs_Informar_TP_FASE_C_Instalado</t>
        </is>
      </c>
      <c r="D174" s="7" t="inlineStr">
        <is>
          <t>CheckBox</t>
        </is>
      </c>
      <c r="E174" s="7" t="inlineStr">
        <is>
          <t>Condicional</t>
        </is>
      </c>
      <c r="F174" s="7" t="inlineStr">
        <is>
          <t>Obrigatorio se Servico = INSTALAR CONJUNTO</t>
        </is>
      </c>
    </row>
    <row r="175">
      <c r="A175" s="7" t="inlineStr">
        <is>
          <t>EXECUCAO DO DECRESCIMO DE POTENCIA</t>
        </is>
      </c>
      <c r="B175" s="7" t="inlineStr">
        <is>
          <t>Medidor Retirado</t>
        </is>
      </c>
      <c r="C175" s="7" t="inlineStr">
        <is>
          <t>Cs_Informar_Medidor_Retirado</t>
        </is>
      </c>
      <c r="D175" s="7" t="inlineStr">
        <is>
          <t>CheckBox</t>
        </is>
      </c>
      <c r="E175" s="7" t="inlineStr">
        <is>
          <t>Condicional</t>
        </is>
      </c>
      <c r="F175" s="7" t="inlineStr">
        <is>
          <t>Obrigatorio se Servico = RETIRADO</t>
        </is>
      </c>
    </row>
    <row r="176">
      <c r="A176" s="7" t="inlineStr">
        <is>
          <t>EXECUCAO DO DECRESCIMO DE POTENCIA</t>
        </is>
      </c>
      <c r="B176" s="7" t="inlineStr">
        <is>
          <t>Conjunto Retirado</t>
        </is>
      </c>
      <c r="C176" s="7" t="inlineStr">
        <is>
          <t>Cs_Informar_Conjunto_Retirado</t>
        </is>
      </c>
      <c r="D176" s="7" t="inlineStr">
        <is>
          <t>CheckBox</t>
        </is>
      </c>
      <c r="E176" s="7" t="inlineStr">
        <is>
          <t>Condicional</t>
        </is>
      </c>
      <c r="F176" s="7" t="inlineStr">
        <is>
          <t>Obrigatorio se Servico = RETIRADO</t>
        </is>
      </c>
    </row>
    <row r="177">
      <c r="A177" s="7" t="inlineStr">
        <is>
          <t>EXECUCAO DO DECRESCIMO DE POTENCIA</t>
        </is>
      </c>
      <c r="B177" s="7" t="inlineStr">
        <is>
          <t>Display Retirado</t>
        </is>
      </c>
      <c r="C177" s="7" t="inlineStr">
        <is>
          <t>Cs_Informar_Display_Retirado</t>
        </is>
      </c>
      <c r="D177" s="7" t="inlineStr">
        <is>
          <t>CheckBox</t>
        </is>
      </c>
      <c r="E177" s="7" t="inlineStr">
        <is>
          <t>Condicional</t>
        </is>
      </c>
      <c r="F177" s="7" t="inlineStr">
        <is>
          <t>Obrigatorio se Servico = RETIRADO</t>
        </is>
      </c>
    </row>
    <row r="178">
      <c r="A178" s="7" t="inlineStr">
        <is>
          <t>EXECUCAO DO DECRESCIMO DE POTENCIA</t>
        </is>
      </c>
      <c r="B178" s="7" t="inlineStr">
        <is>
          <t>TC Fase A Retirado</t>
        </is>
      </c>
      <c r="C178" s="7" t="inlineStr">
        <is>
          <t>Cs_Informar_TC_FASE_A_Retirado</t>
        </is>
      </c>
      <c r="D178" s="7" t="inlineStr">
        <is>
          <t>CheckBox</t>
        </is>
      </c>
      <c r="E178" s="7" t="inlineStr">
        <is>
          <t>Condicional</t>
        </is>
      </c>
      <c r="F178" s="7" t="inlineStr">
        <is>
          <t>Obrigatorio se Servico = RETIRADO</t>
        </is>
      </c>
    </row>
    <row r="179">
      <c r="A179" s="7" t="inlineStr">
        <is>
          <t>EXECUCAO DO DECRESCIMO DE POTENCIA</t>
        </is>
      </c>
      <c r="B179" s="7" t="inlineStr">
        <is>
          <t>TC Fase B Retirado</t>
        </is>
      </c>
      <c r="C179" s="7" t="inlineStr">
        <is>
          <t>Cs_Informar_TC_FASE_B_Retirado</t>
        </is>
      </c>
      <c r="D179" s="7" t="inlineStr">
        <is>
          <t>CheckBox</t>
        </is>
      </c>
      <c r="E179" s="7" t="inlineStr">
        <is>
          <t>Condicional</t>
        </is>
      </c>
      <c r="F179" s="7" t="inlineStr">
        <is>
          <t>Obrigatorio se Servico = RETIRADO</t>
        </is>
      </c>
    </row>
    <row r="180">
      <c r="A180" s="7" t="inlineStr">
        <is>
          <t>EXECUCAO DO DECRESCIMO DE POTENCIA</t>
        </is>
      </c>
      <c r="B180" s="7" t="inlineStr">
        <is>
          <t>TC Fase C Retirado</t>
        </is>
      </c>
      <c r="C180" s="7" t="inlineStr">
        <is>
          <t>Cs_Informar_TC_FASE_C_Retirado</t>
        </is>
      </c>
      <c r="D180" s="7" t="inlineStr">
        <is>
          <t>CheckBox</t>
        </is>
      </c>
      <c r="E180" s="7" t="inlineStr">
        <is>
          <t>Condicional</t>
        </is>
      </c>
      <c r="F180" s="7" t="inlineStr">
        <is>
          <t>Obrigatorio se Servico = RETIRADO</t>
        </is>
      </c>
    </row>
    <row r="181">
      <c r="A181" s="7" t="inlineStr">
        <is>
          <t>EXECUCAO DO DECRESCIMO DE POTENCIA</t>
        </is>
      </c>
      <c r="B181" s="7" t="inlineStr">
        <is>
          <t>TP Fase A Retirado</t>
        </is>
      </c>
      <c r="C181" s="7" t="inlineStr">
        <is>
          <t>Cs_Informar_TP_FASE_A_Retirado</t>
        </is>
      </c>
      <c r="D181" s="7" t="inlineStr">
        <is>
          <t>CheckBox</t>
        </is>
      </c>
      <c r="E181" s="7" t="inlineStr">
        <is>
          <t>Condicional</t>
        </is>
      </c>
      <c r="F181" s="7" t="inlineStr">
        <is>
          <t>Obrigatorio se Servico = RETIRADO</t>
        </is>
      </c>
    </row>
    <row r="182">
      <c r="A182" s="7" t="inlineStr">
        <is>
          <t>EXECUCAO DO DECRESCIMO DE POTENCIA</t>
        </is>
      </c>
      <c r="B182" s="7" t="inlineStr">
        <is>
          <t>TP Fase B Retirado</t>
        </is>
      </c>
      <c r="C182" s="7" t="inlineStr">
        <is>
          <t>Cs_Informar_TP_FASE_B_Retirado</t>
        </is>
      </c>
      <c r="D182" s="7" t="inlineStr">
        <is>
          <t>CheckBox</t>
        </is>
      </c>
      <c r="E182" s="7" t="inlineStr">
        <is>
          <t>Condicional</t>
        </is>
      </c>
      <c r="F182" s="7" t="inlineStr">
        <is>
          <t>Obrigatorio se Servico = RETIRADO</t>
        </is>
      </c>
    </row>
    <row r="183">
      <c r="A183" s="7" t="inlineStr">
        <is>
          <t>EXECUCAO DO DECRESCIMO DE POTENCIA</t>
        </is>
      </c>
      <c r="B183" s="7" t="inlineStr">
        <is>
          <t>TP Fase C Retirado</t>
        </is>
      </c>
      <c r="C183" s="7" t="inlineStr">
        <is>
          <t>Cs_Informar_TP_FASE_C_Retirado</t>
        </is>
      </c>
      <c r="D183" s="7" t="inlineStr">
        <is>
          <t>CheckBox</t>
        </is>
      </c>
      <c r="E183" s="7" t="inlineStr">
        <is>
          <t>Condicional</t>
        </is>
      </c>
      <c r="F183" s="7" t="inlineStr">
        <is>
          <t>Obrigatorio se Servico = RETIRADO</t>
        </is>
      </c>
    </row>
    <row r="184">
      <c r="A184" t="inlineStr"/>
      <c r="B184" t="inlineStr"/>
      <c r="C184" t="inlineStr"/>
      <c r="D184" t="inlineStr"/>
      <c r="E184" t="inlineStr"/>
      <c r="F184" t="inlineStr"/>
    </row>
    <row r="185">
      <c r="A185" s="6">
        <f>== EXECUCAO DO ACRESCIMO DE POTENCIA (grupo Inspecao UC Cortada) ===</f>
        <v/>
      </c>
      <c r="B185" s="6" t="inlineStr"/>
      <c r="C185" s="6" t="inlineStr"/>
      <c r="D185" s="6" t="inlineStr"/>
      <c r="E185" s="6" t="inlineStr"/>
      <c r="F185" s="6" t="inlineStr"/>
    </row>
    <row r="186">
      <c r="A186" s="7" t="inlineStr">
        <is>
          <t>EXECUCAO DO ACRESCIMO DE POTENCIA</t>
        </is>
      </c>
      <c r="B186" s="7" t="inlineStr">
        <is>
          <t>TOI</t>
        </is>
      </c>
      <c r="C186" s="7" t="inlineStr">
        <is>
          <t>Ls_TOI</t>
        </is>
      </c>
      <c r="D186" s="7" t="inlineStr">
        <is>
          <t>Spinner</t>
        </is>
      </c>
      <c r="E186" s="7" t="inlineStr">
        <is>
          <t>Sim</t>
        </is>
      </c>
      <c r="F186" s="7" t="inlineStr">
        <is>
          <t>Opcoes: APLICADO TOI, NAO FOI APLICADO TOI, PERDAS JA APLICOU TOI</t>
        </is>
      </c>
    </row>
    <row r="187">
      <c r="A187" s="7" t="inlineStr">
        <is>
          <t>EXECUCAO DO ACRESCIMO DE POTENCIA</t>
        </is>
      </c>
      <c r="B187" s="7" t="inlineStr">
        <is>
          <t>Numero TOI</t>
        </is>
      </c>
      <c r="C187" s="7" t="inlineStr">
        <is>
          <t>Txt_Numero_TOI</t>
        </is>
      </c>
      <c r="D187" s="7" t="inlineStr">
        <is>
          <t>TextBox</t>
        </is>
      </c>
      <c r="E187" s="7" t="inlineStr">
        <is>
          <t>Condicional</t>
        </is>
      </c>
      <c r="F187" s="7" t="inlineStr">
        <is>
          <t>Visivel se TOI = APLICADO TOI</t>
        </is>
      </c>
    </row>
    <row r="188">
      <c r="A188" s="7" t="inlineStr">
        <is>
          <t>EXECUCAO DO ACRESCIMO DE POTENCIA</t>
        </is>
      </c>
      <c r="B188" s="7" t="inlineStr">
        <is>
          <t>Por que nao aplicado TOI</t>
        </is>
      </c>
      <c r="C188" s="7" t="inlineStr">
        <is>
          <t>Txt_Pq_Nao_Foi_Aplicado_TOI</t>
        </is>
      </c>
      <c r="D188" s="7" t="inlineStr">
        <is>
          <t>TextBox</t>
        </is>
      </c>
      <c r="E188" s="7" t="inlineStr">
        <is>
          <t>Condicional</t>
        </is>
      </c>
      <c r="F188" s="7" t="inlineStr">
        <is>
          <t>Visivel se TOI = NAO FOI APLICADO TOI</t>
        </is>
      </c>
    </row>
    <row r="189">
      <c r="A189" s="7" t="inlineStr">
        <is>
          <t>EXECUCAO DO ACRESCIMO DE POTENCIA</t>
        </is>
      </c>
      <c r="B189" s="7" t="inlineStr">
        <is>
          <t>Observacao Inspecao</t>
        </is>
      </c>
      <c r="C189" s="7" t="inlineStr">
        <is>
          <t>Txt_Observacao_Inspecao</t>
        </is>
      </c>
      <c r="D189" s="7" t="inlineStr">
        <is>
          <t>TextBox</t>
        </is>
      </c>
      <c r="E189" s="7" t="inlineStr">
        <is>
          <t>Nao</t>
        </is>
      </c>
      <c r="F189" s="7" t="inlineStr"/>
    </row>
    <row r="190">
      <c r="A190" t="inlineStr"/>
      <c r="B190" t="inlineStr"/>
      <c r="C190" t="inlineStr"/>
      <c r="D190" t="inlineStr"/>
      <c r="E190" t="inlineStr"/>
      <c r="F190" t="inlineStr"/>
    </row>
    <row r="191">
      <c r="A191" s="6">
        <f>== GRUPO: INSPECAO UC CORTADA ===</f>
        <v/>
      </c>
      <c r="B191" s="6" t="inlineStr"/>
      <c r="C191" s="6" t="inlineStr"/>
      <c r="D191" s="6" t="inlineStr"/>
      <c r="E191" s="6" t="inlineStr"/>
      <c r="F191" s="6" t="inlineStr"/>
    </row>
    <row r="192">
      <c r="A192" s="7" t="inlineStr">
        <is>
          <t>INSPECAO UC CORTADA (I15)</t>
        </is>
      </c>
      <c r="B192" s="7" t="inlineStr">
        <is>
          <t>TOI</t>
        </is>
      </c>
      <c r="C192" s="7" t="inlineStr">
        <is>
          <t>Ls_TOI</t>
        </is>
      </c>
      <c r="D192" s="7" t="inlineStr">
        <is>
          <t>Spinner</t>
        </is>
      </c>
      <c r="E192" s="7" t="inlineStr">
        <is>
          <t>Sim</t>
        </is>
      </c>
      <c r="F192" s="7" t="inlineStr">
        <is>
          <t>Opcoes: APLICADO TOI, NAO FOI APLICADO TOI, PERDAS JA APLICOU TOI</t>
        </is>
      </c>
    </row>
    <row r="193">
      <c r="A193" s="7" t="inlineStr">
        <is>
          <t>INSPECAO UC CORTADA (I15)</t>
        </is>
      </c>
      <c r="B193" s="7" t="inlineStr">
        <is>
          <t>Numero TOI</t>
        </is>
      </c>
      <c r="C193" s="7" t="inlineStr">
        <is>
          <t>Txt_Numero_TOI</t>
        </is>
      </c>
      <c r="D193" s="7" t="inlineStr">
        <is>
          <t>TextBox</t>
        </is>
      </c>
      <c r="E193" s="7" t="inlineStr">
        <is>
          <t>Condicional</t>
        </is>
      </c>
      <c r="F193" s="7" t="inlineStr">
        <is>
          <t>Visivel se TOI = APLICADO TOI</t>
        </is>
      </c>
    </row>
    <row r="194">
      <c r="A194" s="7" t="inlineStr">
        <is>
          <t>INSPECAO UC CORTADA (I15)</t>
        </is>
      </c>
      <c r="B194" s="7" t="inlineStr">
        <is>
          <t>Por que nao aplicado TOI</t>
        </is>
      </c>
      <c r="C194" s="7" t="inlineStr">
        <is>
          <t>Txt_Pq_Nao_Foi_Aplicado_TOI</t>
        </is>
      </c>
      <c r="D194" s="7" t="inlineStr">
        <is>
          <t>TextBox</t>
        </is>
      </c>
      <c r="E194" s="7" t="inlineStr">
        <is>
          <t>Condicional</t>
        </is>
      </c>
      <c r="F194" s="7" t="inlineStr">
        <is>
          <t>Visivel se TOI = NAO FOI APLICADO TOI</t>
        </is>
      </c>
    </row>
    <row r="195">
      <c r="A195" s="7" t="inlineStr">
        <is>
          <t>INSPECAO UC CORTADA (I15)</t>
        </is>
      </c>
      <c r="B195" s="7" t="inlineStr">
        <is>
          <t>Observacao Inspecao</t>
        </is>
      </c>
      <c r="C195" s="7" t="inlineStr">
        <is>
          <t>Txt_Observacao_Inspecao</t>
        </is>
      </c>
      <c r="D195" s="7" t="inlineStr">
        <is>
          <t>TextBox</t>
        </is>
      </c>
      <c r="E195" s="7" t="inlineStr">
        <is>
          <t>Nao</t>
        </is>
      </c>
      <c r="F195" s="7" t="inlineStr"/>
    </row>
    <row r="196">
      <c r="A196" s="7" t="inlineStr">
        <is>
          <t>INSPECAO UC CORTADA (I30)</t>
        </is>
      </c>
      <c r="B196" s="7" t="inlineStr">
        <is>
          <t>TOI</t>
        </is>
      </c>
      <c r="C196" s="7" t="inlineStr">
        <is>
          <t>Ls_TOI</t>
        </is>
      </c>
      <c r="D196" s="7" t="inlineStr">
        <is>
          <t>Spinner</t>
        </is>
      </c>
      <c r="E196" s="7" t="inlineStr">
        <is>
          <t>Sim</t>
        </is>
      </c>
      <c r="F196" s="7" t="inlineStr">
        <is>
          <t>Opcoes: APLICADO TOI, NAO FOI APLICADO TOI, PERDAS JA APLICOU TOI</t>
        </is>
      </c>
    </row>
    <row r="197">
      <c r="A197" s="7" t="inlineStr">
        <is>
          <t>INSPECAO UC CORTADA (I30)</t>
        </is>
      </c>
      <c r="B197" s="7" t="inlineStr">
        <is>
          <t>Numero TOI</t>
        </is>
      </c>
      <c r="C197" s="7" t="inlineStr">
        <is>
          <t>Txt_Numero_TOI</t>
        </is>
      </c>
      <c r="D197" s="7" t="inlineStr">
        <is>
          <t>TextBox</t>
        </is>
      </c>
      <c r="E197" s="7" t="inlineStr">
        <is>
          <t>Condicional</t>
        </is>
      </c>
      <c r="F197" s="7" t="inlineStr">
        <is>
          <t>Visivel se TOI = APLICADO TOI</t>
        </is>
      </c>
    </row>
    <row r="198">
      <c r="A198" s="7" t="inlineStr">
        <is>
          <t>INSPECAO UC CORTADA (I30)</t>
        </is>
      </c>
      <c r="B198" s="7" t="inlineStr">
        <is>
          <t>Por que nao aplicado TOI</t>
        </is>
      </c>
      <c r="C198" s="7" t="inlineStr">
        <is>
          <t>Txt_Pq_Nao_Foi_Aplicado_TOI</t>
        </is>
      </c>
      <c r="D198" s="7" t="inlineStr">
        <is>
          <t>TextBox</t>
        </is>
      </c>
      <c r="E198" s="7" t="inlineStr">
        <is>
          <t>Condicional</t>
        </is>
      </c>
      <c r="F198" s="7" t="inlineStr">
        <is>
          <t>Visivel se TOI = NAO FOI APLICADO TOI</t>
        </is>
      </c>
    </row>
    <row r="199">
      <c r="A199" s="7" t="inlineStr">
        <is>
          <t>INSPECAO UC CORTADA (I30)</t>
        </is>
      </c>
      <c r="B199" s="7" t="inlineStr">
        <is>
          <t>Observacao Inspecao</t>
        </is>
      </c>
      <c r="C199" s="7" t="inlineStr">
        <is>
          <t>Txt_Observacao_Inspecao</t>
        </is>
      </c>
      <c r="D199" s="7" t="inlineStr">
        <is>
          <t>TextBox</t>
        </is>
      </c>
      <c r="E199" s="7" t="inlineStr">
        <is>
          <t>Nao</t>
        </is>
      </c>
      <c r="F199" s="7" t="inlineStr"/>
    </row>
    <row r="200">
      <c r="A200" s="7" t="inlineStr">
        <is>
          <t>INSPECAO UC CORTADA (I90)</t>
        </is>
      </c>
      <c r="B200" s="7" t="inlineStr">
        <is>
          <t>TOI</t>
        </is>
      </c>
      <c r="C200" s="7" t="inlineStr">
        <is>
          <t>Ls_TOI</t>
        </is>
      </c>
      <c r="D200" s="7" t="inlineStr">
        <is>
          <t>Spinner</t>
        </is>
      </c>
      <c r="E200" s="7" t="inlineStr">
        <is>
          <t>Sim</t>
        </is>
      </c>
      <c r="F200" s="7" t="inlineStr">
        <is>
          <t>Opcoes: APLICADO TOI, NAO FOI APLICADO TOI, PERDAS JA APLICOU TOI</t>
        </is>
      </c>
    </row>
    <row r="201">
      <c r="A201" s="7" t="inlineStr">
        <is>
          <t>INSPECAO UC CORTADA (I90)</t>
        </is>
      </c>
      <c r="B201" s="7" t="inlineStr">
        <is>
          <t>Numero TOI</t>
        </is>
      </c>
      <c r="C201" s="7" t="inlineStr">
        <is>
          <t>Txt_Numero_TOI</t>
        </is>
      </c>
      <c r="D201" s="7" t="inlineStr">
        <is>
          <t>TextBox</t>
        </is>
      </c>
      <c r="E201" s="7" t="inlineStr">
        <is>
          <t>Condicional</t>
        </is>
      </c>
      <c r="F201" s="7" t="inlineStr">
        <is>
          <t>Visivel se TOI = APLICADO TOI</t>
        </is>
      </c>
    </row>
    <row r="202">
      <c r="A202" s="7" t="inlineStr">
        <is>
          <t>INSPECAO UC CORTADA (I90)</t>
        </is>
      </c>
      <c r="B202" s="7" t="inlineStr">
        <is>
          <t>Por que nao aplicado TOI</t>
        </is>
      </c>
      <c r="C202" s="7" t="inlineStr">
        <is>
          <t>Txt_Pq_Nao_Foi_Aplicado_TOI</t>
        </is>
      </c>
      <c r="D202" s="7" t="inlineStr">
        <is>
          <t>TextBox</t>
        </is>
      </c>
      <c r="E202" s="7" t="inlineStr">
        <is>
          <t>Condicional</t>
        </is>
      </c>
      <c r="F202" s="7" t="inlineStr">
        <is>
          <t>Visivel se TOI = NAO FOI APLICADO TOI</t>
        </is>
      </c>
    </row>
    <row r="203">
      <c r="A203" s="7" t="inlineStr">
        <is>
          <t>INSPECAO UC CORTADA (I90)</t>
        </is>
      </c>
      <c r="B203" s="7" t="inlineStr">
        <is>
          <t>Observacao Inspecao</t>
        </is>
      </c>
      <c r="C203" s="7" t="inlineStr">
        <is>
          <t>Txt_Observacao_Inspecao</t>
        </is>
      </c>
      <c r="D203" s="7" t="inlineStr">
        <is>
          <t>TextBox</t>
        </is>
      </c>
      <c r="E203" s="7" t="inlineStr">
        <is>
          <t>Nao</t>
        </is>
      </c>
      <c r="F203" s="7" t="inlineStr"/>
    </row>
    <row r="204">
      <c r="A204" s="7" t="inlineStr">
        <is>
          <t>INSPECAO UC CORTADA (I180)</t>
        </is>
      </c>
      <c r="B204" s="7" t="inlineStr">
        <is>
          <t>TOI</t>
        </is>
      </c>
      <c r="C204" s="7" t="inlineStr">
        <is>
          <t>Ls_TOI</t>
        </is>
      </c>
      <c r="D204" s="7" t="inlineStr">
        <is>
          <t>Spinner</t>
        </is>
      </c>
      <c r="E204" s="7" t="inlineStr">
        <is>
          <t>Sim</t>
        </is>
      </c>
      <c r="F204" s="7" t="inlineStr">
        <is>
          <t>Opcoes: APLICADO TOI, NAO FOI APLICADO TOI, PERDAS JA APLICOU TOI</t>
        </is>
      </c>
    </row>
    <row r="205">
      <c r="A205" s="7" t="inlineStr">
        <is>
          <t>INSPECAO UC CORTADA (I180)</t>
        </is>
      </c>
      <c r="B205" s="7" t="inlineStr">
        <is>
          <t>Numero TOI</t>
        </is>
      </c>
      <c r="C205" s="7" t="inlineStr">
        <is>
          <t>Txt_Numero_TOI</t>
        </is>
      </c>
      <c r="D205" s="7" t="inlineStr">
        <is>
          <t>TextBox</t>
        </is>
      </c>
      <c r="E205" s="7" t="inlineStr">
        <is>
          <t>Condicional</t>
        </is>
      </c>
      <c r="F205" s="7" t="inlineStr">
        <is>
          <t>Visivel se TOI = APLICADO TOI</t>
        </is>
      </c>
    </row>
    <row r="206">
      <c r="A206" s="7" t="inlineStr">
        <is>
          <t>INSPECAO UC CORTADA (I180)</t>
        </is>
      </c>
      <c r="B206" s="7" t="inlineStr">
        <is>
          <t>Por que nao aplicado TOI</t>
        </is>
      </c>
      <c r="C206" s="7" t="inlineStr">
        <is>
          <t>Txt_Pq_Nao_Foi_Aplicado_TOI</t>
        </is>
      </c>
      <c r="D206" s="7" t="inlineStr">
        <is>
          <t>TextBox</t>
        </is>
      </c>
      <c r="E206" s="7" t="inlineStr">
        <is>
          <t>Condicional</t>
        </is>
      </c>
      <c r="F206" s="7" t="inlineStr">
        <is>
          <t>Visivel se TOI = NAO FOI APLICADO TOI</t>
        </is>
      </c>
    </row>
    <row r="207">
      <c r="A207" s="7" t="inlineStr">
        <is>
          <t>INSPECAO UC CORTADA (I180)</t>
        </is>
      </c>
      <c r="B207" s="7" t="inlineStr">
        <is>
          <t>Observacao Inspecao</t>
        </is>
      </c>
      <c r="C207" s="7" t="inlineStr">
        <is>
          <t>Txt_Observacao_Inspecao</t>
        </is>
      </c>
      <c r="D207" s="7" t="inlineStr">
        <is>
          <t>TextBox</t>
        </is>
      </c>
      <c r="E207" s="7" t="inlineStr">
        <is>
          <t>Nao</t>
        </is>
      </c>
      <c r="F207" s="7" t="inlineStr"/>
    </row>
    <row r="208">
      <c r="A208" t="inlineStr"/>
      <c r="B208" t="inlineStr"/>
      <c r="C208" t="inlineStr"/>
      <c r="D208" t="inlineStr"/>
      <c r="E208" t="inlineStr"/>
      <c r="F208" t="inlineStr"/>
    </row>
    <row r="209">
      <c r="A209" s="6">
        <f>== GRUPO: SUBSTITUICAO/INSTALACAO DE DISPLAY ===</f>
        <v/>
      </c>
      <c r="B209" s="6" t="inlineStr"/>
      <c r="C209" s="6" t="inlineStr"/>
      <c r="D209" s="6" t="inlineStr"/>
      <c r="E209" s="6" t="inlineStr"/>
      <c r="F209" s="6" t="inlineStr"/>
    </row>
    <row r="210">
      <c r="A210" s="7" t="inlineStr">
        <is>
          <t>SUBSTITUICAO DE DISPLAY</t>
        </is>
      </c>
      <c r="B210" s="7" t="inlineStr">
        <is>
          <t>Servico Executado</t>
        </is>
      </c>
      <c r="C210" s="7" t="inlineStr">
        <is>
          <t>Ls_Substituicao_de_Display_Executada</t>
        </is>
      </c>
      <c r="D210" s="7" t="inlineStr">
        <is>
          <t>Spinner</t>
        </is>
      </c>
      <c r="E210" s="7" t="inlineStr">
        <is>
          <t>Sim</t>
        </is>
      </c>
      <c r="F210" s="7" t="inlineStr"/>
    </row>
    <row r="211">
      <c r="A211" s="7" t="inlineStr">
        <is>
          <t>SUBSTITUICAO DE DISPLAY</t>
        </is>
      </c>
      <c r="B211" s="7" t="inlineStr">
        <is>
          <t>Numero Display</t>
        </is>
      </c>
      <c r="C211" s="7" t="inlineStr">
        <is>
          <t>Txt_Numero_Display</t>
        </is>
      </c>
      <c r="D211" s="7" t="inlineStr">
        <is>
          <t>TextBox</t>
        </is>
      </c>
      <c r="E211" s="7" t="inlineStr">
        <is>
          <t>Sim</t>
        </is>
      </c>
      <c r="F211" s="7" t="inlineStr"/>
    </row>
    <row r="212">
      <c r="A212" s="7" t="inlineStr">
        <is>
          <t>SUBSTITUICAO DE DISPLAY</t>
        </is>
      </c>
      <c r="B212" s="7" t="inlineStr">
        <is>
          <t>Observacao Display</t>
        </is>
      </c>
      <c r="C212" s="7" t="inlineStr">
        <is>
          <t>Txt_Observacao_Display</t>
        </is>
      </c>
      <c r="D212" s="7" t="inlineStr">
        <is>
          <t>TextBox</t>
        </is>
      </c>
      <c r="E212" s="7" t="inlineStr">
        <is>
          <t>Nao</t>
        </is>
      </c>
      <c r="F212" s="7" t="inlineStr"/>
    </row>
    <row r="213">
      <c r="A213" s="7" t="inlineStr">
        <is>
          <t>INSTALACAO DO DISPLAY</t>
        </is>
      </c>
      <c r="B213" s="7" t="inlineStr">
        <is>
          <t>Servico Executado</t>
        </is>
      </c>
      <c r="C213" s="7" t="inlineStr">
        <is>
          <t>Ls_Substituicao_de_Display_Executada</t>
        </is>
      </c>
      <c r="D213" s="7" t="inlineStr">
        <is>
          <t>Spinner</t>
        </is>
      </c>
      <c r="E213" s="7" t="inlineStr">
        <is>
          <t>Sim</t>
        </is>
      </c>
      <c r="F213" s="7" t="inlineStr"/>
    </row>
    <row r="214">
      <c r="A214" s="7" t="inlineStr">
        <is>
          <t>INSTALACAO DO DISPLAY</t>
        </is>
      </c>
      <c r="B214" s="7" t="inlineStr">
        <is>
          <t>Numero Display</t>
        </is>
      </c>
      <c r="C214" s="7" t="inlineStr">
        <is>
          <t>Txt_Numero_Display</t>
        </is>
      </c>
      <c r="D214" s="7" t="inlineStr">
        <is>
          <t>TextBox</t>
        </is>
      </c>
      <c r="E214" s="7" t="inlineStr">
        <is>
          <t>Sim</t>
        </is>
      </c>
      <c r="F214" s="7" t="inlineStr"/>
    </row>
    <row r="215">
      <c r="A215" s="7" t="inlineStr">
        <is>
          <t>INSTALACAO DO DISPLAY</t>
        </is>
      </c>
      <c r="B215" s="7" t="inlineStr">
        <is>
          <t>Observacao Display</t>
        </is>
      </c>
      <c r="C215" s="7" t="inlineStr">
        <is>
          <t>Txt_Observacao_Display</t>
        </is>
      </c>
      <c r="D215" s="7" t="inlineStr">
        <is>
          <t>TextBox</t>
        </is>
      </c>
      <c r="E215" s="7" t="inlineStr">
        <is>
          <t>Nao</t>
        </is>
      </c>
      <c r="F215" s="7" t="inlineStr"/>
    </row>
    <row r="216">
      <c r="A216" t="inlineStr"/>
      <c r="B216" t="inlineStr"/>
      <c r="C216" t="inlineStr"/>
      <c r="D216" t="inlineStr"/>
      <c r="E216" t="inlineStr"/>
      <c r="F216" t="inlineStr"/>
    </row>
    <row r="217">
      <c r="A217" s="6">
        <f>== CORTE POR FALTA DE PAGAMENTO ===</f>
        <v/>
      </c>
      <c r="B217" s="6" t="inlineStr"/>
      <c r="C217" s="6" t="inlineStr"/>
      <c r="D217" s="6" t="inlineStr"/>
      <c r="E217" s="6" t="inlineStr"/>
      <c r="F217" s="6" t="inlineStr"/>
    </row>
    <row r="218">
      <c r="A218" s="7" t="inlineStr">
        <is>
          <t>CORTE POR FALTA DE PAGAMENTO</t>
        </is>
      </c>
      <c r="B218" s="7" t="inlineStr">
        <is>
          <t>Corte/Religacao</t>
        </is>
      </c>
      <c r="C218" s="7" t="inlineStr">
        <is>
          <t>Ls_Corte_ou_Religacao_Apos_Corte</t>
        </is>
      </c>
      <c r="D218" s="7" t="inlineStr">
        <is>
          <t>Spinner</t>
        </is>
      </c>
      <c r="E218" s="7" t="inlineStr">
        <is>
          <t>Sim</t>
        </is>
      </c>
      <c r="F218" s="7" t="inlineStr">
        <is>
          <t>Opcoes: EXECUTOU CORTE, EXECUTOU RELIGACAO</t>
        </is>
      </c>
    </row>
    <row r="219">
      <c r="A219" s="7" t="inlineStr">
        <is>
          <t>CORTE POR FALTA DE PAGAMENTO</t>
        </is>
      </c>
      <c r="B219" s="7" t="inlineStr">
        <is>
          <t>Observacao</t>
        </is>
      </c>
      <c r="C219" s="7" t="inlineStr">
        <is>
          <t>Txt_Observacao_Corte_Pagamento</t>
        </is>
      </c>
      <c r="D219" s="7" t="inlineStr">
        <is>
          <t>TextBox</t>
        </is>
      </c>
      <c r="E219" s="7" t="inlineStr">
        <is>
          <t>Nao</t>
        </is>
      </c>
      <c r="F219" s="7" t="inlineStr"/>
    </row>
    <row r="220">
      <c r="A220" t="inlineStr"/>
      <c r="B220" t="inlineStr"/>
      <c r="C220" t="inlineStr"/>
      <c r="D220" t="inlineStr"/>
      <c r="E220" t="inlineStr"/>
      <c r="F220" t="inlineStr"/>
    </row>
    <row r="221">
      <c r="A221" s="6">
        <f>== CORTE DE UC POR DEF TECNICO ===</f>
        <v/>
      </c>
      <c r="B221" s="6" t="inlineStr"/>
      <c r="C221" s="6" t="inlineStr"/>
      <c r="D221" s="6" t="inlineStr"/>
      <c r="E221" s="6" t="inlineStr"/>
      <c r="F221" s="6" t="inlineStr"/>
    </row>
    <row r="222">
      <c r="A222" s="7" t="inlineStr">
        <is>
          <t>CORTE DE UC POR DEF TECNICO</t>
        </is>
      </c>
      <c r="B222" s="7" t="inlineStr">
        <is>
          <t>Motivo PRE APR</t>
        </is>
      </c>
      <c r="C222" s="7" t="inlineStr">
        <is>
          <t>Txt_Motivo_PRE_APR</t>
        </is>
      </c>
      <c r="D222" s="7" t="inlineStr">
        <is>
          <t>TextBox</t>
        </is>
      </c>
      <c r="E222" s="7" t="inlineStr">
        <is>
          <t>Sim</t>
        </is>
      </c>
      <c r="F222" s="7" t="inlineStr"/>
    </row>
    <row r="223">
      <c r="A223" s="7" t="inlineStr">
        <is>
          <t>CORTE DE UC POR DEF TECNICO</t>
        </is>
      </c>
      <c r="B223" s="7" t="inlineStr">
        <is>
          <t>Medicao Avariada</t>
        </is>
      </c>
      <c r="C223" s="7" t="inlineStr">
        <is>
          <t>Ls_Medicao_Avariada</t>
        </is>
      </c>
      <c r="D223" s="7" t="inlineStr">
        <is>
          <t>Spinner</t>
        </is>
      </c>
      <c r="E223" s="7" t="inlineStr">
        <is>
          <t>Sim</t>
        </is>
      </c>
      <c r="F223" s="7" t="inlineStr">
        <is>
          <t>Opcoes: SIM, NAO</t>
        </is>
      </c>
    </row>
    <row r="224">
      <c r="A224" s="7" t="inlineStr">
        <is>
          <t>CORTE DE UC POR DEF TECNICO</t>
        </is>
      </c>
      <c r="B224" s="7" t="inlineStr">
        <is>
          <t>Problema Medicao</t>
        </is>
      </c>
      <c r="C224" s="7" t="inlineStr">
        <is>
          <t>Txt_Problema_Medicao</t>
        </is>
      </c>
      <c r="D224" s="7" t="inlineStr">
        <is>
          <t>TextBox</t>
        </is>
      </c>
      <c r="E224" s="7" t="inlineStr">
        <is>
          <t>Condicional</t>
        </is>
      </c>
      <c r="F224" s="7" t="inlineStr">
        <is>
          <t>Visivel se Medicao Avariada = SIM</t>
        </is>
      </c>
    </row>
    <row r="225">
      <c r="A225" s="7" t="inlineStr">
        <is>
          <t>CORTE DE UC POR DEF TECNICO</t>
        </is>
      </c>
      <c r="B225" s="7" t="inlineStr">
        <is>
          <t>Necessario Linha Viva</t>
        </is>
      </c>
      <c r="C225" s="7" t="inlineStr">
        <is>
          <t>Ls_Necessario_Linha_Viva</t>
        </is>
      </c>
      <c r="D225" s="7" t="inlineStr">
        <is>
          <t>Spinner</t>
        </is>
      </c>
      <c r="E225" s="7" t="inlineStr">
        <is>
          <t>Sim</t>
        </is>
      </c>
      <c r="F225" s="7" t="inlineStr">
        <is>
          <t>Opcoes: SIM, NAO</t>
        </is>
      </c>
    </row>
    <row r="226">
      <c r="A226" s="7" t="inlineStr">
        <is>
          <t>CORTE DE UC POR DEF TECNICO</t>
        </is>
      </c>
      <c r="B226" s="7" t="inlineStr">
        <is>
          <t>Por que Linha Viva</t>
        </is>
      </c>
      <c r="C226" s="7" t="inlineStr">
        <is>
          <t>Txt_Porque_Linha_Viva</t>
        </is>
      </c>
      <c r="D226" s="7" t="inlineStr">
        <is>
          <t>TextBox</t>
        </is>
      </c>
      <c r="E226" s="7" t="inlineStr">
        <is>
          <t>Condicional</t>
        </is>
      </c>
      <c r="F226" s="7" t="inlineStr">
        <is>
          <t>Visivel se Linha Viva = SIM</t>
        </is>
      </c>
    </row>
    <row r="227">
      <c r="A227" s="7" t="inlineStr">
        <is>
          <t>CORTE DE UC POR DEF TECNICO</t>
        </is>
      </c>
      <c r="B227" s="7" t="inlineStr">
        <is>
          <t>Chave de Corte</t>
        </is>
      </c>
      <c r="C227" s="7" t="inlineStr">
        <is>
          <t>Txt_Chave_Corte</t>
        </is>
      </c>
      <c r="D227" s="7" t="inlineStr">
        <is>
          <t>TextBox</t>
        </is>
      </c>
      <c r="E227" s="7" t="inlineStr">
        <is>
          <t>Sim</t>
        </is>
      </c>
      <c r="F227" s="7" t="inlineStr">
        <is>
          <t>Tombamento chave de corte</t>
        </is>
      </c>
    </row>
    <row r="228">
      <c r="A228" s="7" t="inlineStr">
        <is>
          <t>CORTE DE UC POR DEF TECNICO</t>
        </is>
      </c>
      <c r="B228" s="7" t="inlineStr">
        <is>
          <t>Chave Cliente</t>
        </is>
      </c>
      <c r="C228" s="7" t="inlineStr">
        <is>
          <t>Txt_Chave_Cliente</t>
        </is>
      </c>
      <c r="D228" s="7" t="inlineStr">
        <is>
          <t>TextBox</t>
        </is>
      </c>
      <c r="E228" s="7" t="inlineStr">
        <is>
          <t>Sim</t>
        </is>
      </c>
      <c r="F228" s="7" t="inlineStr">
        <is>
          <t>Tombamento chave cliente</t>
        </is>
      </c>
    </row>
    <row r="229">
      <c r="A229" s="7" t="inlineStr">
        <is>
          <t>CORTE DE UC POR DEF TECNICO</t>
        </is>
      </c>
      <c r="B229" s="7" t="inlineStr">
        <is>
          <t>Qtd Aterramentos</t>
        </is>
      </c>
      <c r="C229" s="7" t="inlineStr">
        <is>
          <t>Ls_Quantidade_Aterramento</t>
        </is>
      </c>
      <c r="D229" s="7" t="inlineStr">
        <is>
          <t>Spinner</t>
        </is>
      </c>
      <c r="E229" s="7" t="inlineStr">
        <is>
          <t>Sim</t>
        </is>
      </c>
      <c r="F229" s="7" t="inlineStr">
        <is>
          <t>Opcoes: 1 a 10</t>
        </is>
      </c>
    </row>
    <row r="230">
      <c r="A230" s="7" t="inlineStr">
        <is>
          <t>CORTE DE UC POR DEF TECNICO</t>
        </is>
      </c>
      <c r="B230" s="7" t="inlineStr">
        <is>
          <t>Contato Cliente</t>
        </is>
      </c>
      <c r="C230" s="7" t="inlineStr">
        <is>
          <t>Ls_Contato_Cliente</t>
        </is>
      </c>
      <c r="D230" s="7" t="inlineStr">
        <is>
          <t>Spinner</t>
        </is>
      </c>
      <c r="E230" s="7" t="inlineStr">
        <is>
          <t>Sim</t>
        </is>
      </c>
      <c r="F230" s="7" t="inlineStr">
        <is>
          <t>Opcoes: SIM, NAO, N/A</t>
        </is>
      </c>
    </row>
    <row r="231">
      <c r="A231" s="7" t="inlineStr">
        <is>
          <t>CORTE DE UC POR DEF TECNICO</t>
        </is>
      </c>
      <c r="B231" s="7" t="inlineStr">
        <is>
          <t>Nome Responsavel</t>
        </is>
      </c>
      <c r="C231" s="7" t="inlineStr">
        <is>
          <t>Txt_Nome_Responsavel</t>
        </is>
      </c>
      <c r="D231" s="7" t="inlineStr">
        <is>
          <t>TextBox</t>
        </is>
      </c>
      <c r="E231" s="7" t="inlineStr">
        <is>
          <t>Condicional</t>
        </is>
      </c>
      <c r="F231" s="7" t="inlineStr">
        <is>
          <t>Visivel se Contato Cliente = SIM</t>
        </is>
      </c>
    </row>
    <row r="232">
      <c r="A232" s="7" t="inlineStr">
        <is>
          <t>CORTE DE UC POR DEF TECNICO</t>
        </is>
      </c>
      <c r="B232" s="7" t="inlineStr">
        <is>
          <t>Celular</t>
        </is>
      </c>
      <c r="C232" s="7" t="inlineStr">
        <is>
          <t>Txt_Celular</t>
        </is>
      </c>
      <c r="D232" s="7" t="inlineStr">
        <is>
          <t>TextBox</t>
        </is>
      </c>
      <c r="E232" s="7" t="inlineStr">
        <is>
          <t>Condicional</t>
        </is>
      </c>
      <c r="F232" s="7" t="inlineStr">
        <is>
          <t>Visivel se Contato Cliente = SIM</t>
        </is>
      </c>
    </row>
    <row r="233">
      <c r="A233" s="7" t="inlineStr">
        <is>
          <t>CORTE DE UC POR DEF TECNICO</t>
        </is>
      </c>
      <c r="B233" s="7" t="inlineStr">
        <is>
          <t>Telefone Fixo</t>
        </is>
      </c>
      <c r="C233" s="7" t="inlineStr">
        <is>
          <t>Txt_Telefone_Fixo</t>
        </is>
      </c>
      <c r="D233" s="7" t="inlineStr">
        <is>
          <t>TextBox</t>
        </is>
      </c>
      <c r="E233" s="7" t="inlineStr">
        <is>
          <t>Condicional</t>
        </is>
      </c>
      <c r="F233" s="7" t="inlineStr">
        <is>
          <t>Visivel se Contato Cliente = SIM</t>
        </is>
      </c>
    </row>
    <row r="234">
      <c r="A234" s="7" t="inlineStr">
        <is>
          <t>CORTE DE UC POR DEF TECNICO</t>
        </is>
      </c>
      <c r="B234" s="7" t="inlineStr">
        <is>
          <t>Email Contato</t>
        </is>
      </c>
      <c r="C234" s="7" t="inlineStr">
        <is>
          <t>Txt_Email_Contato</t>
        </is>
      </c>
      <c r="D234" s="7" t="inlineStr">
        <is>
          <t>TextBox</t>
        </is>
      </c>
      <c r="E234" s="7" t="inlineStr">
        <is>
          <t>Condicional</t>
        </is>
      </c>
      <c r="F234" s="7" t="inlineStr">
        <is>
          <t>Visivel se Contato Cliente = SIM</t>
        </is>
      </c>
    </row>
    <row r="235">
      <c r="A235" s="7" t="inlineStr">
        <is>
          <t>CORTE DE UC POR DEF TECNICO</t>
        </is>
      </c>
      <c r="B235" s="7" t="inlineStr">
        <is>
          <t>Corte/Religacao</t>
        </is>
      </c>
      <c r="C235" s="7" t="inlineStr">
        <is>
          <t>Ls_Corte_ou_Religacao_Apos_Corte</t>
        </is>
      </c>
      <c r="D235" s="7" t="inlineStr">
        <is>
          <t>Spinner</t>
        </is>
      </c>
      <c r="E235" s="7" t="inlineStr">
        <is>
          <t>Sim</t>
        </is>
      </c>
      <c r="F235" s="7" t="inlineStr">
        <is>
          <t>Opcoes: EXECUTOU CORTE, EXECUTOU RELIGACAO</t>
        </is>
      </c>
    </row>
    <row r="236">
      <c r="A236" t="inlineStr"/>
      <c r="B236" t="inlineStr"/>
      <c r="C236" t="inlineStr"/>
      <c r="D236" t="inlineStr"/>
      <c r="E236" t="inlineStr"/>
      <c r="F236" t="inlineStr"/>
    </row>
    <row r="237">
      <c r="A237" s="6">
        <f>== DESLIG.PROG.MANUTENCAO ===</f>
        <v/>
      </c>
      <c r="B237" s="6" t="inlineStr"/>
      <c r="C237" s="6" t="inlineStr"/>
      <c r="D237" s="6" t="inlineStr"/>
      <c r="E237" s="6" t="inlineStr"/>
      <c r="F237" s="6" t="inlineStr"/>
    </row>
    <row r="238">
      <c r="A238" s="7" t="inlineStr">
        <is>
          <t>DESLIG.PROG.MANUTENCAO</t>
        </is>
      </c>
      <c r="B238" s="7" t="inlineStr">
        <is>
          <t>Data Desligamento</t>
        </is>
      </c>
      <c r="C238" s="7" t="inlineStr">
        <is>
          <t>Txt_Data_Desligamento</t>
        </is>
      </c>
      <c r="D238" s="7" t="inlineStr">
        <is>
          <t>TextBox</t>
        </is>
      </c>
      <c r="E238" s="7" t="inlineStr">
        <is>
          <t>Sim</t>
        </is>
      </c>
      <c r="F238" s="7" t="inlineStr"/>
    </row>
    <row r="239">
      <c r="A239" s="7" t="inlineStr">
        <is>
          <t>DESLIG.PROG.MANUTENCAO</t>
        </is>
      </c>
      <c r="B239" s="7" t="inlineStr">
        <is>
          <t>Hora Desligamento</t>
        </is>
      </c>
      <c r="C239" s="7" t="inlineStr">
        <is>
          <t>Txt_Hora_Desligamento</t>
        </is>
      </c>
      <c r="D239" s="7" t="inlineStr">
        <is>
          <t>TextBox</t>
        </is>
      </c>
      <c r="E239" s="7" t="inlineStr">
        <is>
          <t>Sim</t>
        </is>
      </c>
      <c r="F239" s="7" t="inlineStr"/>
    </row>
    <row r="240">
      <c r="A240" s="7" t="inlineStr">
        <is>
          <t>DESLIG.PROG.MANUTENCAO</t>
        </is>
      </c>
      <c r="B240" s="7" t="inlineStr">
        <is>
          <t>Previsao Retorno</t>
        </is>
      </c>
      <c r="C240" s="7" t="inlineStr">
        <is>
          <t>Txt_Hora_Previsao_Retorno</t>
        </is>
      </c>
      <c r="D240" s="7" t="inlineStr">
        <is>
          <t>TextBox</t>
        </is>
      </c>
      <c r="E240" s="7" t="inlineStr">
        <is>
          <t>Sim</t>
        </is>
      </c>
      <c r="F240" s="7" t="inlineStr"/>
    </row>
    <row r="241">
      <c r="A241" s="7" t="inlineStr">
        <is>
          <t>DESLIG.PROG.MANUTENCAO</t>
        </is>
      </c>
      <c r="B241" s="7" t="inlineStr">
        <is>
          <t>Observacao</t>
        </is>
      </c>
      <c r="C241" s="7" t="inlineStr">
        <is>
          <t>Txt_Observacao_Desligamento</t>
        </is>
      </c>
      <c r="D241" s="7" t="inlineStr">
        <is>
          <t>TextBox</t>
        </is>
      </c>
      <c r="E241" s="7" t="inlineStr">
        <is>
          <t>Nao</t>
        </is>
      </c>
      <c r="F241" s="7" t="inlineStr"/>
    </row>
    <row r="242">
      <c r="A242" t="inlineStr"/>
      <c r="B242" t="inlineStr"/>
      <c r="C242" t="inlineStr"/>
      <c r="D242" t="inlineStr"/>
      <c r="E242" t="inlineStr"/>
      <c r="F242" t="inlineStr"/>
    </row>
    <row r="243">
      <c r="A243" s="6">
        <f>== ET: VISTORIA - LIGACAO NOVA MEDIA TENSAO ===</f>
        <v/>
      </c>
      <c r="B243" s="6" t="inlineStr"/>
      <c r="C243" s="6" t="inlineStr"/>
      <c r="D243" s="6" t="inlineStr"/>
      <c r="E243" s="6" t="inlineStr"/>
      <c r="F243" s="6" t="inlineStr"/>
    </row>
    <row r="244">
      <c r="A244" s="7" t="inlineStr">
        <is>
          <t>ET: VISTORIA - LIGACAO NOVA MEDIA TENSAO</t>
        </is>
      </c>
      <c r="B244" s="7" t="inlineStr">
        <is>
          <t>Tombamento Vistoria</t>
        </is>
      </c>
      <c r="C244" s="7" t="inlineStr">
        <is>
          <t>Txt_Tombamento_Vistoria</t>
        </is>
      </c>
      <c r="D244" s="7" t="inlineStr">
        <is>
          <t>TextBox</t>
        </is>
      </c>
      <c r="E244" s="7" t="inlineStr">
        <is>
          <t>Sim</t>
        </is>
      </c>
      <c r="F244" s="7" t="inlineStr"/>
    </row>
    <row r="245">
      <c r="A245" s="7" t="inlineStr">
        <is>
          <t>ET: VISTORIA - LIGACAO NOVA MEDIA TENSAO</t>
        </is>
      </c>
      <c r="B245" s="7" t="inlineStr">
        <is>
          <t>Coordenada X Vistoria</t>
        </is>
      </c>
      <c r="C245" s="7" t="inlineStr">
        <is>
          <t>Txt_COORD_X_Vistoria</t>
        </is>
      </c>
      <c r="D245" s="7" t="inlineStr">
        <is>
          <t>TextBox</t>
        </is>
      </c>
      <c r="E245" s="7" t="inlineStr">
        <is>
          <t>Sim</t>
        </is>
      </c>
      <c r="F245" s="7" t="inlineStr"/>
    </row>
    <row r="246">
      <c r="A246" s="7" t="inlineStr">
        <is>
          <t>ET: VISTORIA - LIGACAO NOVA MEDIA TENSAO</t>
        </is>
      </c>
      <c r="B246" s="7" t="inlineStr">
        <is>
          <t>Coordenada Y Vistoria</t>
        </is>
      </c>
      <c r="C246" s="7" t="inlineStr">
        <is>
          <t>Txt_COORD_Y_Vistoria</t>
        </is>
      </c>
      <c r="D246" s="7" t="inlineStr">
        <is>
          <t>TextBox</t>
        </is>
      </c>
      <c r="E246" s="7" t="inlineStr">
        <is>
          <t>Sim</t>
        </is>
      </c>
      <c r="F246" s="7" t="inlineStr"/>
    </row>
    <row r="247">
      <c r="A247" s="7" t="inlineStr">
        <is>
          <t>ET: VISTORIA - LIGACAO NOVA MEDIA TENSAO</t>
        </is>
      </c>
      <c r="B247" s="7" t="inlineStr">
        <is>
          <t>Observacao Vistoria</t>
        </is>
      </c>
      <c r="C247" s="7" t="inlineStr">
        <is>
          <t>Txt_Observacao_Vistoria</t>
        </is>
      </c>
      <c r="D247" s="7" t="inlineStr">
        <is>
          <t>TextBox</t>
        </is>
      </c>
      <c r="E247" s="7" t="inlineStr">
        <is>
          <t>Nao</t>
        </is>
      </c>
      <c r="F247" s="7" t="inlineStr"/>
    </row>
    <row r="248">
      <c r="A248" t="inlineStr"/>
      <c r="B248" t="inlineStr"/>
      <c r="C248" t="inlineStr"/>
      <c r="D248" t="inlineStr"/>
      <c r="E248" t="inlineStr"/>
      <c r="F248" t="inlineStr"/>
    </row>
    <row r="249">
      <c r="A249" s="6">
        <f>== TELEMEDIÇÃO MANUTENCAO / LOTE ===</f>
        <v/>
      </c>
      <c r="B249" s="6" t="inlineStr"/>
      <c r="C249" s="6" t="inlineStr"/>
      <c r="D249" s="6" t="inlineStr"/>
      <c r="E249" s="6" t="inlineStr"/>
      <c r="F249" s="6" t="inlineStr"/>
    </row>
    <row r="250">
      <c r="A250" s="7" t="inlineStr">
        <is>
          <t>TELEMEDIÇÃO MANUTENCAO</t>
        </is>
      </c>
      <c r="B250" s="7" t="inlineStr">
        <is>
          <t>Marca Remota Retirada</t>
        </is>
      </c>
      <c r="C250" s="7" t="inlineStr">
        <is>
          <t>Ls_Marca_Remota_Retirada</t>
        </is>
      </c>
      <c r="D250" s="7" t="inlineStr">
        <is>
          <t>Spinner</t>
        </is>
      </c>
      <c r="E250" s="7" t="inlineStr">
        <is>
          <t>Sim</t>
        </is>
      </c>
      <c r="F250" s="7" t="inlineStr">
        <is>
          <t>Opcoes: SEM ALTERACAO, MARCA_A, MARCA_B, ...</t>
        </is>
      </c>
    </row>
    <row r="251">
      <c r="A251" s="7" t="inlineStr">
        <is>
          <t>TELEMEDIÇÃO MANUTENCAO</t>
        </is>
      </c>
      <c r="B251" s="7" t="inlineStr">
        <is>
          <t>Porta Remota Retirada</t>
        </is>
      </c>
      <c r="C251" s="7" t="inlineStr">
        <is>
          <t>Txt_Porta_Marca_Remota_Retirada</t>
        </is>
      </c>
      <c r="D251" s="7" t="inlineStr">
        <is>
          <t>TextBox</t>
        </is>
      </c>
      <c r="E251" s="7" t="inlineStr">
        <is>
          <t>Condicional</t>
        </is>
      </c>
      <c r="F251" s="7" t="inlineStr">
        <is>
          <t>Habilitado se marca != SEM ALTERACAO</t>
        </is>
      </c>
    </row>
    <row r="252">
      <c r="A252" s="7" t="inlineStr">
        <is>
          <t>TELEMEDIÇÃO MANUTENCAO</t>
        </is>
      </c>
      <c r="B252" s="7" t="inlineStr">
        <is>
          <t>Operadora Chip Retirado</t>
        </is>
      </c>
      <c r="C252" s="7" t="inlineStr">
        <is>
          <t>Ls_Operadora_Chip_Retirada</t>
        </is>
      </c>
      <c r="D252" s="7" t="inlineStr">
        <is>
          <t>Spinner</t>
        </is>
      </c>
      <c r="E252" s="7" t="inlineStr">
        <is>
          <t>Sim</t>
        </is>
      </c>
      <c r="F252" s="7" t="inlineStr">
        <is>
          <t>Opcoes: SEM ALTERACAO, CLARO, TIM, VIVO, OI, ALGAR, OUTRA</t>
        </is>
      </c>
    </row>
    <row r="253">
      <c r="A253" s="7" t="inlineStr">
        <is>
          <t>TELEMEDIÇÃO MANUTENCAO</t>
        </is>
      </c>
      <c r="B253" s="7" t="inlineStr">
        <is>
          <t>Marca Remota Instalada</t>
        </is>
      </c>
      <c r="C253" s="7" t="inlineStr">
        <is>
          <t>Ls_Marca_Remota_Instalada</t>
        </is>
      </c>
      <c r="D253" s="7" t="inlineStr">
        <is>
          <t>Spinner</t>
        </is>
      </c>
      <c r="E253" s="7" t="inlineStr">
        <is>
          <t>Sim</t>
        </is>
      </c>
      <c r="F253" s="7" t="inlineStr">
        <is>
          <t>Opcoes: SEM ALTERACAO, MARCA_A, MARCA_B, ...</t>
        </is>
      </c>
    </row>
    <row r="254">
      <c r="A254" s="7" t="inlineStr">
        <is>
          <t>TELEMEDIÇÃO MANUTENCAO</t>
        </is>
      </c>
      <c r="B254" s="7" t="inlineStr">
        <is>
          <t>Porta Remota Instalada</t>
        </is>
      </c>
      <c r="C254" s="7" t="inlineStr">
        <is>
          <t>Txt_Porta_Marca_Remota_Instalada</t>
        </is>
      </c>
      <c r="D254" s="7" t="inlineStr">
        <is>
          <t>TextBox</t>
        </is>
      </c>
      <c r="E254" s="7" t="inlineStr">
        <is>
          <t>Condicional</t>
        </is>
      </c>
      <c r="F254" s="7" t="inlineStr">
        <is>
          <t>Habilitado se marca != SEM ALTERACAO</t>
        </is>
      </c>
    </row>
    <row r="255">
      <c r="A255" s="7" t="inlineStr">
        <is>
          <t>TELEMEDIÇÃO MANUTENCAO</t>
        </is>
      </c>
      <c r="B255" s="7" t="inlineStr">
        <is>
          <t>Operadora Chip Instalado</t>
        </is>
      </c>
      <c r="C255" s="7" t="inlineStr">
        <is>
          <t>Ls_Operadora_Chip_Instalada</t>
        </is>
      </c>
      <c r="D255" s="7" t="inlineStr">
        <is>
          <t>Spinner</t>
        </is>
      </c>
      <c r="E255" s="7" t="inlineStr">
        <is>
          <t>Sim</t>
        </is>
      </c>
      <c r="F255" s="7" t="inlineStr">
        <is>
          <t>Opcoes: SEM ALTERACAO, CLARO, TIM, VIVO, OI, ALGAR, OUTRA</t>
        </is>
      </c>
    </row>
    <row r="256">
      <c r="A256" s="7" t="inlineStr">
        <is>
          <t>TELEMEDIÇÃO MANUTENCAO LOTE</t>
        </is>
      </c>
      <c r="B256" s="7" t="inlineStr">
        <is>
          <t>Marca Remota Retirada</t>
        </is>
      </c>
      <c r="C256" s="7" t="inlineStr">
        <is>
          <t>Ls_Marca_Remota_Retirada</t>
        </is>
      </c>
      <c r="D256" s="7" t="inlineStr">
        <is>
          <t>Spinner</t>
        </is>
      </c>
      <c r="E256" s="7" t="inlineStr">
        <is>
          <t>Sim</t>
        </is>
      </c>
      <c r="F256" s="7" t="inlineStr">
        <is>
          <t>Opcoes: SEM ALTERACAO, MARCA_A, MARCA_B, ...</t>
        </is>
      </c>
    </row>
    <row r="257">
      <c r="A257" s="7" t="inlineStr">
        <is>
          <t>TELEMEDIÇÃO MANUTENCAO LOTE</t>
        </is>
      </c>
      <c r="B257" s="7" t="inlineStr">
        <is>
          <t>Porta Remota Retirada</t>
        </is>
      </c>
      <c r="C257" s="7" t="inlineStr">
        <is>
          <t>Txt_Porta_Marca_Remota_Retirada</t>
        </is>
      </c>
      <c r="D257" s="7" t="inlineStr">
        <is>
          <t>TextBox</t>
        </is>
      </c>
      <c r="E257" s="7" t="inlineStr">
        <is>
          <t>Condicional</t>
        </is>
      </c>
      <c r="F257" s="7" t="inlineStr">
        <is>
          <t>Habilitado se marca != SEM ALTERACAO</t>
        </is>
      </c>
    </row>
    <row r="258">
      <c r="A258" s="7" t="inlineStr">
        <is>
          <t>TELEMEDIÇÃO MANUTENCAO LOTE</t>
        </is>
      </c>
      <c r="B258" s="7" t="inlineStr">
        <is>
          <t>Operadora Chip Retirado</t>
        </is>
      </c>
      <c r="C258" s="7" t="inlineStr">
        <is>
          <t>Ls_Operadora_Chip_Retirada</t>
        </is>
      </c>
      <c r="D258" s="7" t="inlineStr">
        <is>
          <t>Spinner</t>
        </is>
      </c>
      <c r="E258" s="7" t="inlineStr">
        <is>
          <t>Sim</t>
        </is>
      </c>
      <c r="F258" s="7" t="inlineStr">
        <is>
          <t>Opcoes: SEM ALTERACAO, CLARO, TIM, VIVO, OI, ALGAR, OUTRA</t>
        </is>
      </c>
    </row>
    <row r="259">
      <c r="A259" s="7" t="inlineStr">
        <is>
          <t>TELEMEDIÇÃO MANUTENCAO LOTE</t>
        </is>
      </c>
      <c r="B259" s="7" t="inlineStr">
        <is>
          <t>Marca Remota Instalada</t>
        </is>
      </c>
      <c r="C259" s="7" t="inlineStr">
        <is>
          <t>Ls_Marca_Remota_Instalada</t>
        </is>
      </c>
      <c r="D259" s="7" t="inlineStr">
        <is>
          <t>Spinner</t>
        </is>
      </c>
      <c r="E259" s="7" t="inlineStr">
        <is>
          <t>Sim</t>
        </is>
      </c>
      <c r="F259" s="7" t="inlineStr">
        <is>
          <t>Opcoes: SEM ALTERACAO, MARCA_A, MARCA_B, ...</t>
        </is>
      </c>
    </row>
    <row r="260">
      <c r="A260" s="7" t="inlineStr">
        <is>
          <t>TELEMEDIÇÃO MANUTENCAO LOTE</t>
        </is>
      </c>
      <c r="B260" s="7" t="inlineStr">
        <is>
          <t>Porta Remota Instalada</t>
        </is>
      </c>
      <c r="C260" s="7" t="inlineStr">
        <is>
          <t>Txt_Porta_Marca_Remota_Instalada</t>
        </is>
      </c>
      <c r="D260" s="7" t="inlineStr">
        <is>
          <t>TextBox</t>
        </is>
      </c>
      <c r="E260" s="7" t="inlineStr">
        <is>
          <t>Condicional</t>
        </is>
      </c>
      <c r="F260" s="7" t="inlineStr">
        <is>
          <t>Habilitado se marca != SEM ALTERACAO</t>
        </is>
      </c>
    </row>
    <row r="261">
      <c r="A261" s="7" t="inlineStr">
        <is>
          <t>TELEMEDIÇÃO MANUTENCAO LOTE</t>
        </is>
      </c>
      <c r="B261" s="7" t="inlineStr">
        <is>
          <t>Operadora Chip Instalado</t>
        </is>
      </c>
      <c r="C261" s="7" t="inlineStr">
        <is>
          <t>Ls_Operadora_Chip_Instalada</t>
        </is>
      </c>
      <c r="D261" s="7" t="inlineStr">
        <is>
          <t>Spinner</t>
        </is>
      </c>
      <c r="E261" s="7" t="inlineStr">
        <is>
          <t>Sim</t>
        </is>
      </c>
      <c r="F261" s="7" t="inlineStr">
        <is>
          <t>Opcoes: SEM ALTERACAO, CLARO, TIM, VIVO, OI, ALGAR, OUTRA</t>
        </is>
      </c>
    </row>
    <row r="262">
      <c r="A262" s="7" t="inlineStr">
        <is>
          <t>TELEMEDIÇÃO MANUTENCAO/LOTE</t>
        </is>
      </c>
      <c r="B262" s="7" t="inlineStr">
        <is>
          <t>Marca Remota Retirada</t>
        </is>
      </c>
      <c r="C262" s="7" t="inlineStr">
        <is>
          <t>Ls_Marca_Remota_Retirada</t>
        </is>
      </c>
      <c r="D262" s="7" t="inlineStr">
        <is>
          <t>Spinner</t>
        </is>
      </c>
      <c r="E262" s="7" t="inlineStr">
        <is>
          <t>Sim</t>
        </is>
      </c>
      <c r="F262" s="7" t="inlineStr">
        <is>
          <t>Opcoes: SEM ALTERACAO, MARCA_A, MARCA_B, ...</t>
        </is>
      </c>
    </row>
    <row r="263">
      <c r="A263" s="7" t="inlineStr">
        <is>
          <t>TELEMEDIÇÃO MANUTENCAO/LOTE</t>
        </is>
      </c>
      <c r="B263" s="7" t="inlineStr">
        <is>
          <t>Porta Remota Retirada</t>
        </is>
      </c>
      <c r="C263" s="7" t="inlineStr">
        <is>
          <t>Txt_Porta_Marca_Remota_Retirada</t>
        </is>
      </c>
      <c r="D263" s="7" t="inlineStr">
        <is>
          <t>TextBox</t>
        </is>
      </c>
      <c r="E263" s="7" t="inlineStr">
        <is>
          <t>Condicional</t>
        </is>
      </c>
      <c r="F263" s="7" t="inlineStr">
        <is>
          <t>Habilitado se marca != SEM ALTERACAO</t>
        </is>
      </c>
    </row>
    <row r="264">
      <c r="A264" s="7" t="inlineStr">
        <is>
          <t>TELEMEDIÇÃO MANUTENCAO/LOTE</t>
        </is>
      </c>
      <c r="B264" s="7" t="inlineStr">
        <is>
          <t>Operadora Chip Retirado</t>
        </is>
      </c>
      <c r="C264" s="7" t="inlineStr">
        <is>
          <t>Ls_Operadora_Chip_Retirada</t>
        </is>
      </c>
      <c r="D264" s="7" t="inlineStr">
        <is>
          <t>Spinner</t>
        </is>
      </c>
      <c r="E264" s="7" t="inlineStr">
        <is>
          <t>Sim</t>
        </is>
      </c>
      <c r="F264" s="7" t="inlineStr">
        <is>
          <t>Opcoes: SEM ALTERACAO, CLARO, TIM, VIVO, OI, ALGAR, OUTRA</t>
        </is>
      </c>
    </row>
    <row r="265">
      <c r="A265" s="7" t="inlineStr">
        <is>
          <t>TELEMEDIÇÃO MANUTENCAO/LOTE</t>
        </is>
      </c>
      <c r="B265" s="7" t="inlineStr">
        <is>
          <t>Marca Remota Instalada</t>
        </is>
      </c>
      <c r="C265" s="7" t="inlineStr">
        <is>
          <t>Ls_Marca_Remota_Instalada</t>
        </is>
      </c>
      <c r="D265" s="7" t="inlineStr">
        <is>
          <t>Spinner</t>
        </is>
      </c>
      <c r="E265" s="7" t="inlineStr">
        <is>
          <t>Sim</t>
        </is>
      </c>
      <c r="F265" s="7" t="inlineStr">
        <is>
          <t>Opcoes: SEM ALTERACAO, MARCA_A, MARCA_B, ...</t>
        </is>
      </c>
    </row>
    <row r="266">
      <c r="A266" s="7" t="inlineStr">
        <is>
          <t>TELEMEDIÇÃO MANUTENCAO/LOTE</t>
        </is>
      </c>
      <c r="B266" s="7" t="inlineStr">
        <is>
          <t>Porta Remota Instalada</t>
        </is>
      </c>
      <c r="C266" s="7" t="inlineStr">
        <is>
          <t>Txt_Porta_Marca_Remota_Instalada</t>
        </is>
      </c>
      <c r="D266" s="7" t="inlineStr">
        <is>
          <t>TextBox</t>
        </is>
      </c>
      <c r="E266" s="7" t="inlineStr">
        <is>
          <t>Condicional</t>
        </is>
      </c>
      <c r="F266" s="7" t="inlineStr">
        <is>
          <t>Habilitado se marca != SEM ALTERACAO</t>
        </is>
      </c>
    </row>
    <row r="267">
      <c r="A267" s="7" t="inlineStr">
        <is>
          <t>TELEMEDIÇÃO MANUTENCAO/LOTE</t>
        </is>
      </c>
      <c r="B267" s="7" t="inlineStr">
        <is>
          <t>Operadora Chip Instalado</t>
        </is>
      </c>
      <c r="C267" s="7" t="inlineStr">
        <is>
          <t>Ls_Operadora_Chip_Instalada</t>
        </is>
      </c>
      <c r="D267" s="7" t="inlineStr">
        <is>
          <t>Spinner</t>
        </is>
      </c>
      <c r="E267" s="7" t="inlineStr">
        <is>
          <t>Sim</t>
        </is>
      </c>
      <c r="F267" s="7" t="inlineStr">
        <is>
          <t>Opcoes: SEM ALTERACAO, CLARO, TIM, VIVO, OI, ALGAR, OUTRA</t>
        </is>
      </c>
    </row>
    <row r="268">
      <c r="A268" t="inlineStr"/>
      <c r="B268" t="inlineStr"/>
      <c r="C268" t="inlineStr"/>
      <c r="D268" t="inlineStr"/>
      <c r="E268" t="inlineStr"/>
      <c r="F268" t="inlineStr"/>
    </row>
    <row r="269">
      <c r="A269" s="6">
        <f>== TIPOS COM TEMPLATE (sem campos especificos de tela) ===</f>
        <v/>
      </c>
      <c r="B269" s="6" t="inlineStr"/>
      <c r="C269" s="6" t="inlineStr"/>
      <c r="D269" s="6" t="inlineStr"/>
      <c r="E269" s="6" t="inlineStr"/>
      <c r="F269" s="6" t="inlineStr"/>
    </row>
    <row r="270">
      <c r="A270" s="4" t="inlineStr">
        <is>
          <t>ADEQUACAO SMF</t>
        </is>
      </c>
      <c r="B270" s="4" t="inlineStr">
        <is>
          <t>(Template texto - sem campos de tela)</t>
        </is>
      </c>
      <c r="C270" s="4" t="inlineStr">
        <is>
          <t>-</t>
        </is>
      </c>
      <c r="D270" s="4" t="inlineStr">
        <is>
          <t>-</t>
        </is>
      </c>
      <c r="E270" s="4" t="inlineStr">
        <is>
          <t>-</t>
        </is>
      </c>
      <c r="F270" s="4" t="inlineStr">
        <is>
          <t>Preenche Txt_Retorno com template</t>
        </is>
      </c>
    </row>
    <row r="271">
      <c r="A271" s="4" t="inlineStr">
        <is>
          <t>COLHER LEITURA</t>
        </is>
      </c>
      <c r="B271" s="4" t="inlineStr">
        <is>
          <t>(Template texto - sem campos de tela)</t>
        </is>
      </c>
      <c r="C271" s="4" t="inlineStr">
        <is>
          <t>-</t>
        </is>
      </c>
      <c r="D271" s="4" t="inlineStr">
        <is>
          <t>-</t>
        </is>
      </c>
      <c r="E271" s="4" t="inlineStr">
        <is>
          <t>-</t>
        </is>
      </c>
      <c r="F271" s="4" t="inlineStr">
        <is>
          <t>Preenche Txt_Retorno com template</t>
        </is>
      </c>
    </row>
    <row r="272">
      <c r="A272" s="4" t="inlineStr">
        <is>
          <t>CORTE DEFINITIVO A PEDIDO</t>
        </is>
      </c>
      <c r="B272" s="4" t="inlineStr">
        <is>
          <t>(Template texto - sem campos de tela)</t>
        </is>
      </c>
      <c r="C272" s="4" t="inlineStr">
        <is>
          <t>-</t>
        </is>
      </c>
      <c r="D272" s="4" t="inlineStr">
        <is>
          <t>-</t>
        </is>
      </c>
      <c r="E272" s="4" t="inlineStr">
        <is>
          <t>-</t>
        </is>
      </c>
      <c r="F272" s="4" t="inlineStr">
        <is>
          <t>Preenche Txt_Retorno com template</t>
        </is>
      </c>
    </row>
    <row r="273">
      <c r="A273" s="4" t="inlineStr">
        <is>
          <t>EXECUCAO DE MUDANCA DE TARIFA</t>
        </is>
      </c>
      <c r="B273" s="4" t="inlineStr">
        <is>
          <t>(Template texto - sem campos de tela)</t>
        </is>
      </c>
      <c r="C273" s="4" t="inlineStr">
        <is>
          <t>-</t>
        </is>
      </c>
      <c r="D273" s="4" t="inlineStr">
        <is>
          <t>-</t>
        </is>
      </c>
      <c r="E273" s="4" t="inlineStr">
        <is>
          <t>-</t>
        </is>
      </c>
      <c r="F273" s="4" t="inlineStr">
        <is>
          <t>Preenche Txt_Retorno com template</t>
        </is>
      </c>
    </row>
    <row r="274">
      <c r="A274" s="4" t="inlineStr">
        <is>
          <t>GRANDES CLIENTES SEM MEDIÇÃO</t>
        </is>
      </c>
      <c r="B274" s="4" t="inlineStr">
        <is>
          <t>(Template texto - sem campos de tela)</t>
        </is>
      </c>
      <c r="C274" s="4" t="inlineStr">
        <is>
          <t>-</t>
        </is>
      </c>
      <c r="D274" s="4" t="inlineStr">
        <is>
          <t>-</t>
        </is>
      </c>
      <c r="E274" s="4" t="inlineStr">
        <is>
          <t>-</t>
        </is>
      </c>
      <c r="F274" s="4" t="inlineStr">
        <is>
          <t>Preenche Txt_Retorno com template</t>
        </is>
      </c>
    </row>
    <row r="275">
      <c r="A275" s="4" t="inlineStr">
        <is>
          <t>GRANDES CLIENTES SELO ROMPIDO</t>
        </is>
      </c>
      <c r="B275" s="4" t="inlineStr">
        <is>
          <t>(Template texto - sem campos de tela)</t>
        </is>
      </c>
      <c r="C275" s="4" t="inlineStr">
        <is>
          <t>-</t>
        </is>
      </c>
      <c r="D275" s="4" t="inlineStr">
        <is>
          <t>-</t>
        </is>
      </c>
      <c r="E275" s="4" t="inlineStr">
        <is>
          <t>-</t>
        </is>
      </c>
      <c r="F275" s="4" t="inlineStr">
        <is>
          <t>Preenche Txt_Retorno com template</t>
        </is>
      </c>
    </row>
    <row r="276">
      <c r="A276" s="4" t="inlineStr">
        <is>
          <t>LIBERACAO DE PULSO</t>
        </is>
      </c>
      <c r="B276" s="4" t="inlineStr">
        <is>
          <t>(Template texto - sem campos de tela)</t>
        </is>
      </c>
      <c r="C276" s="4" t="inlineStr">
        <is>
          <t>-</t>
        </is>
      </c>
      <c r="D276" s="4" t="inlineStr">
        <is>
          <t>-</t>
        </is>
      </c>
      <c r="E276" s="4" t="inlineStr">
        <is>
          <t>-</t>
        </is>
      </c>
      <c r="F276" s="4" t="inlineStr">
        <is>
          <t>Preenche Txt_Retorno com template</t>
        </is>
      </c>
    </row>
    <row r="277">
      <c r="A277" s="4" t="inlineStr">
        <is>
          <t>RELIGACAO NORMAL RURAL</t>
        </is>
      </c>
      <c r="B277" s="4" t="inlineStr">
        <is>
          <t>(Template texto - sem campos de tela)</t>
        </is>
      </c>
      <c r="C277" s="4" t="inlineStr">
        <is>
          <t>-</t>
        </is>
      </c>
      <c r="D277" s="4" t="inlineStr">
        <is>
          <t>-</t>
        </is>
      </c>
      <c r="E277" s="4" t="inlineStr">
        <is>
          <t>-</t>
        </is>
      </c>
      <c r="F277" s="4" t="inlineStr">
        <is>
          <t>Preenche Txt_Retorno com template</t>
        </is>
      </c>
    </row>
    <row r="278">
      <c r="A278" s="4" t="inlineStr">
        <is>
          <t>RELIGACAO NORMAL URBANA</t>
        </is>
      </c>
      <c r="B278" s="4" t="inlineStr">
        <is>
          <t>(Template texto - sem campos de tela)</t>
        </is>
      </c>
      <c r="C278" s="4" t="inlineStr">
        <is>
          <t>-</t>
        </is>
      </c>
      <c r="D278" s="4" t="inlineStr">
        <is>
          <t>-</t>
        </is>
      </c>
      <c r="E278" s="4" t="inlineStr">
        <is>
          <t>-</t>
        </is>
      </c>
      <c r="F278" s="4" t="inlineStr">
        <is>
          <t>Preenche Txt_Retorno com template</t>
        </is>
      </c>
    </row>
    <row r="279">
      <c r="A279" s="4" t="inlineStr">
        <is>
          <t>RETIRAR RAMAL</t>
        </is>
      </c>
      <c r="B279" s="4" t="inlineStr">
        <is>
          <t>(Template texto - sem campos de tela)</t>
        </is>
      </c>
      <c r="C279" s="4" t="inlineStr">
        <is>
          <t>-</t>
        </is>
      </c>
      <c r="D279" s="4" t="inlineStr">
        <is>
          <t>-</t>
        </is>
      </c>
      <c r="E279" s="4" t="inlineStr">
        <is>
          <t>-</t>
        </is>
      </c>
      <c r="F279" s="4" t="inlineStr">
        <is>
          <t>Preenche Txt_Retorno com template</t>
        </is>
      </c>
    </row>
    <row r="280">
      <c r="A280" s="4" t="inlineStr">
        <is>
          <t>SERVICO ESPECIAL OPERACAO</t>
        </is>
      </c>
      <c r="B280" s="4" t="inlineStr">
        <is>
          <t>(Template texto - sem campos de tela)</t>
        </is>
      </c>
      <c r="C280" s="4" t="inlineStr">
        <is>
          <t>-</t>
        </is>
      </c>
      <c r="D280" s="4" t="inlineStr">
        <is>
          <t>-</t>
        </is>
      </c>
      <c r="E280" s="4" t="inlineStr">
        <is>
          <t>-</t>
        </is>
      </c>
      <c r="F280" s="4" t="inlineStr">
        <is>
          <t>Preenche Txt_Retorno com template</t>
        </is>
      </c>
    </row>
    <row r="281">
      <c r="A281" s="4" t="inlineStr">
        <is>
          <t>SUBSTITUICAO DA BATERIA DO MEDIDOR</t>
        </is>
      </c>
      <c r="B281" s="4" t="inlineStr">
        <is>
          <t>(Template texto - sem campos de tela)</t>
        </is>
      </c>
      <c r="C281" s="4" t="inlineStr">
        <is>
          <t>-</t>
        </is>
      </c>
      <c r="D281" s="4" t="inlineStr">
        <is>
          <t>-</t>
        </is>
      </c>
      <c r="E281" s="4" t="inlineStr">
        <is>
          <t>-</t>
        </is>
      </c>
      <c r="F281" s="4" t="inlineStr">
        <is>
          <t>Preenche Txt_Retorno com template</t>
        </is>
      </c>
    </row>
    <row r="282">
      <c r="A282" s="4" t="inlineStr">
        <is>
          <t>VISTORIA ACRESCIMO DECRESCIMO</t>
        </is>
      </c>
      <c r="B282" s="4" t="inlineStr">
        <is>
          <t>(Template texto - sem campos de tela)</t>
        </is>
      </c>
      <c r="C282" s="4" t="inlineStr">
        <is>
          <t>-</t>
        </is>
      </c>
      <c r="D282" s="4" t="inlineStr">
        <is>
          <t>-</t>
        </is>
      </c>
      <c r="E282" s="4" t="inlineStr">
        <is>
          <t>-</t>
        </is>
      </c>
      <c r="F282" s="4" t="inlineStr">
        <is>
          <t>Preenche Txt_Retorno com template</t>
        </is>
      </c>
    </row>
    <row r="283">
      <c r="A283" s="4" t="inlineStr">
        <is>
          <t>VISTORIA DA UC</t>
        </is>
      </c>
      <c r="B283" s="4" t="inlineStr">
        <is>
          <t>(Template texto - sem campos de tela)</t>
        </is>
      </c>
      <c r="C283" s="4" t="inlineStr">
        <is>
          <t>-</t>
        </is>
      </c>
      <c r="D283" s="4" t="inlineStr">
        <is>
          <t>-</t>
        </is>
      </c>
      <c r="E283" s="4" t="inlineStr">
        <is>
          <t>-</t>
        </is>
      </c>
      <c r="F283" s="4" t="inlineStr">
        <is>
          <t>Preenche Txt_Retorno com template</t>
        </is>
      </c>
    </row>
    <row r="284">
      <c r="A284" s="4" t="inlineStr">
        <is>
          <t>VISTORIA GERAÇÃO DISTRIBUIDA</t>
        </is>
      </c>
      <c r="B284" s="4" t="inlineStr">
        <is>
          <t>(Template texto - sem campos de tela)</t>
        </is>
      </c>
      <c r="C284" s="4" t="inlineStr">
        <is>
          <t>-</t>
        </is>
      </c>
      <c r="D284" s="4" t="inlineStr">
        <is>
          <t>-</t>
        </is>
      </c>
      <c r="E284" s="4" t="inlineStr">
        <is>
          <t>-</t>
        </is>
      </c>
      <c r="F284" s="4" t="inlineStr">
        <is>
          <t>Preenche Txt_Retorno com template</t>
        </is>
      </c>
    </row>
    <row r="285">
      <c r="A285" s="4" t="inlineStr">
        <is>
          <t>VISTORIA PONTO DE ENTREGA CLIENTE</t>
        </is>
      </c>
      <c r="B285" s="4" t="inlineStr">
        <is>
          <t>(Template texto - sem campos de tela)</t>
        </is>
      </c>
      <c r="C285" s="4" t="inlineStr">
        <is>
          <t>-</t>
        </is>
      </c>
      <c r="D285" s="4" t="inlineStr">
        <is>
          <t>-</t>
        </is>
      </c>
      <c r="E285" s="4" t="inlineStr">
        <is>
          <t>-</t>
        </is>
      </c>
      <c r="F285" s="4" t="inlineStr">
        <is>
          <t>Preenche Txt_Retorno com template</t>
        </is>
      </c>
    </row>
    <row r="286">
      <c r="A286" s="4" t="inlineStr">
        <is>
          <t>VISITA TECNICA MIGRACAO</t>
        </is>
      </c>
      <c r="B286" s="4" t="inlineStr">
        <is>
          <t>(Template texto - sem campos de tela)</t>
        </is>
      </c>
      <c r="C286" s="4" t="inlineStr">
        <is>
          <t>-</t>
        </is>
      </c>
      <c r="D286" s="4" t="inlineStr">
        <is>
          <t>-</t>
        </is>
      </c>
      <c r="E286" s="4" t="inlineStr">
        <is>
          <t>-</t>
        </is>
      </c>
      <c r="F286" s="4" t="inlineStr">
        <is>
          <t>Preenche Txt_Retorno com template</t>
        </is>
      </c>
    </row>
    <row r="287">
      <c r="A287" t="inlineStr"/>
      <c r="B287" t="inlineStr"/>
      <c r="C287" t="inlineStr"/>
      <c r="D287" t="inlineStr"/>
      <c r="E287" t="inlineStr"/>
      <c r="F287" t="inlineStr"/>
    </row>
    <row r="288">
      <c r="A288" s="6">
        <f>== TIPOS DIRETO PARA ENVIO (sem campos especificos) ===</f>
        <v/>
      </c>
      <c r="B288" s="6" t="inlineStr"/>
      <c r="C288" s="6" t="inlineStr"/>
      <c r="D288" s="6" t="inlineStr"/>
      <c r="E288" s="6" t="inlineStr"/>
      <c r="F288" s="6" t="inlineStr"/>
    </row>
    <row r="289">
      <c r="A289" s="3" t="inlineStr">
        <is>
          <t>AFERICAO MEDIDOR CLIENTE LIVRE</t>
        </is>
      </c>
      <c r="B289" s="3" t="inlineStr">
        <is>
          <t>(Sem campos especificos)</t>
        </is>
      </c>
      <c r="C289" s="3" t="inlineStr">
        <is>
          <t>-</t>
        </is>
      </c>
      <c r="D289" s="3" t="inlineStr">
        <is>
          <t>-</t>
        </is>
      </c>
      <c r="E289" s="3" t="inlineStr">
        <is>
          <t>-</t>
        </is>
      </c>
      <c r="F289" s="3" t="inlineStr">
        <is>
          <t>Vai direto para envio</t>
        </is>
      </c>
    </row>
    <row r="290">
      <c r="A290" s="3" t="inlineStr">
        <is>
          <t>TELEMEDIÇÃO MANUTENCAO CLIENTE LIVRE</t>
        </is>
      </c>
      <c r="B290" s="3" t="inlineStr">
        <is>
          <t>(Sem campos especificos)</t>
        </is>
      </c>
      <c r="C290" s="3" t="inlineStr">
        <is>
          <t>-</t>
        </is>
      </c>
      <c r="D290" s="3" t="inlineStr">
        <is>
          <t>-</t>
        </is>
      </c>
      <c r="E290" s="3" t="inlineStr">
        <is>
          <t>-</t>
        </is>
      </c>
      <c r="F290" s="3" t="inlineStr">
        <is>
          <t>Vai direto para envio</t>
        </is>
      </c>
    </row>
    <row r="291">
      <c r="A291" s="3" t="inlineStr">
        <is>
          <t>VISITA TECNICA GRUPO A</t>
        </is>
      </c>
      <c r="B291" s="3" t="inlineStr">
        <is>
          <t>(Sem campos especificos)</t>
        </is>
      </c>
      <c r="C291" s="3" t="inlineStr">
        <is>
          <t>-</t>
        </is>
      </c>
      <c r="D291" s="3" t="inlineStr">
        <is>
          <t>-</t>
        </is>
      </c>
      <c r="E291" s="3" t="inlineStr">
        <is>
          <t>-</t>
        </is>
      </c>
      <c r="F291" s="3" t="inlineStr">
        <is>
          <t>Vai direto para envio</t>
        </is>
      </c>
    </row>
    <row r="292">
      <c r="A292" s="3" t="inlineStr">
        <is>
          <t>DESLOCAMENTO DE SUBESTACAO</t>
        </is>
      </c>
      <c r="B292" s="3" t="inlineStr">
        <is>
          <t>(Sem campos especificos)</t>
        </is>
      </c>
      <c r="C292" s="3" t="inlineStr">
        <is>
          <t>-</t>
        </is>
      </c>
      <c r="D292" s="3" t="inlineStr">
        <is>
          <t>-</t>
        </is>
      </c>
      <c r="E292" s="3" t="inlineStr">
        <is>
          <t>-</t>
        </is>
      </c>
      <c r="F292" s="3" t="inlineStr">
        <is>
          <t>Vai direto para envio</t>
        </is>
      </c>
    </row>
    <row r="293">
      <c r="A293" s="3" t="inlineStr">
        <is>
          <t>RESELAR MEDIÇÃO</t>
        </is>
      </c>
      <c r="B293" s="3" t="inlineStr">
        <is>
          <t>(Sem campos especificos)</t>
        </is>
      </c>
      <c r="C293" s="3" t="inlineStr">
        <is>
          <t>-</t>
        </is>
      </c>
      <c r="D293" s="3" t="inlineStr">
        <is>
          <t>-</t>
        </is>
      </c>
      <c r="E293" s="3" t="inlineStr">
        <is>
          <t>-</t>
        </is>
      </c>
      <c r="F293" s="3" t="inlineStr">
        <is>
          <t>Vai direto para envio</t>
        </is>
      </c>
    </row>
    <row r="294">
      <c r="A294" s="3" t="inlineStr">
        <is>
          <t>RESSEVICO</t>
        </is>
      </c>
      <c r="B294" s="3" t="inlineStr">
        <is>
          <t>(Sem campos especificos)</t>
        </is>
      </c>
      <c r="C294" s="3" t="inlineStr">
        <is>
          <t>-</t>
        </is>
      </c>
      <c r="D294" s="3" t="inlineStr">
        <is>
          <t>-</t>
        </is>
      </c>
      <c r="E294" s="3" t="inlineStr">
        <is>
          <t>-</t>
        </is>
      </c>
      <c r="F294" s="3" t="inlineStr">
        <is>
          <t>Vai direto para envio</t>
        </is>
      </c>
    </row>
  </sheetData>
  <autoFilter ref="A1:F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80" customWidth="1" min="3" max="3"/>
    <col width="45" customWidth="1" min="4" max="4"/>
  </cols>
  <sheetData>
    <row r="1">
      <c r="A1" s="1" t="inlineStr">
        <is>
          <t>Campo Select (Spinner)</t>
        </is>
      </c>
      <c r="B1" s="1" t="inlineStr">
        <is>
          <t>ID Componente</t>
        </is>
      </c>
      <c r="C1" s="1" t="inlineStr">
        <is>
          <t>Opcoes</t>
        </is>
      </c>
      <c r="D1" s="1" t="inlineStr">
        <is>
          <t>Usado Em</t>
        </is>
      </c>
    </row>
    <row r="2">
      <c r="A2" s="7" t="inlineStr">
        <is>
          <t>Tipo de Ordem</t>
        </is>
      </c>
      <c r="B2" s="7" t="inlineStr">
        <is>
          <t>Ls_Tipo_de_ordem</t>
        </is>
      </c>
      <c r="C2" s="7" t="inlineStr">
        <is>
          <t>ADEQUACAO SMF; AFERICAO DE MEDIDOR; COLHER LEITURA; CORTE DE UC POR DEF TECNICO; CORTE DEFINITIVO A PEDIDO; CORTE POR FALTA DE PAGAMENTO; DESLIG.PROG.MANUTENCAO; ET: EXECUCAO - LIGACAO NOVA MEDIA TENSAO; ET: LIGACAO - LIGACAO NOVA MEDIA TENSAO; ET: VISTORIA - LIGACAO NOVA MEDIA TENSAO; EXECUCAO DE MUDANCA DE TARIFA; EXECUCAO DO ACRESCIMO DE POTENCIA; EXECUCAO DO DECRESCIMO DE POTENCIA; GRANDES CLIENTES SELO ROMPIDO; GRANDES CLIENTES SEM MEDIÇÃO; INSPECAO UC CORTADA (I15); INSPECAO UC CORTADA (I180); INSPECAO UC CORTADA (I30); INSPECAO UC CORTADA (I90); INSTALACAO DO DISPLAY; LIBERACAO DE PULSO; LIGACAO NOVA ISOLADA; LIGACAO NOVA (SIMULTANEA/ISOLADA/MT); LIGACAO NOVA SIMULTANEA; LIGACAO NOVA MT - CLIENTE LIVRE; RELIGACAO (RURAL/URBANA); RETIRAR EQUIPAMENTOS; RETIRAR RAMAL; SERVICO ESPECIAL OPERACAO; SUBST. DE EQUIPAMENTO DE MEDICAO; SUBST. MEDIDOR A PEDIDO; SUBST. MEDIDOR INICIATIVA COELCE; SUBSTITUICAO DA BATERIA/MEDIDOR; SUBSTITUICAO DE DISPLAY; TELEMEDIÇÃO MANUTENCAO/LOTE; VISTORIA (ACRESCIMO/DECRESCIMO/DA UC/GERACAO/PONTO ENTREGA/MIGRACAO); VISITA TECNICA MIGRACAO</t>
        </is>
      </c>
      <c r="D2" s="7" t="inlineStr">
        <is>
          <t>Tela Inicial (todos os tipos)</t>
        </is>
      </c>
    </row>
    <row r="3">
      <c r="A3" s="7" t="inlineStr">
        <is>
          <t>Cliente</t>
        </is>
      </c>
      <c r="B3" s="7" t="inlineStr">
        <is>
          <t>Ls_Cliente</t>
        </is>
      </c>
      <c r="C3" s="7" t="inlineStr">
        <is>
          <t>8139 BR TELECOM; A&amp;G SERVICOS DE ENGENHARIA; AGNELO RODRIGUES DE MORAIS FILHO; AGROPECUARIA OITO IRMAOS; CAGECE; CAIXA D'AGUA; COELCE; COFCO INTERNATIONAL BRASIL S.A; COMPANHIA DE GAS DO CEARA; ENERVA; EQUATORIAL; PETROBRAS; TELEMAR; ... (lista completa com ~130+ clientes)</t>
        </is>
      </c>
      <c r="D3" s="7" t="inlineStr">
        <is>
          <t>Tela Inicial (todos os tipos)</t>
        </is>
      </c>
    </row>
    <row r="4">
      <c r="A4" s="7" t="inlineStr">
        <is>
          <t>Municipio</t>
        </is>
      </c>
      <c r="B4" s="7" t="inlineStr">
        <is>
          <t>Ls_Municipio</t>
        </is>
      </c>
      <c r="C4" s="7" t="inlineStr">
        <is>
          <t>(Lista de municipios - limite 2000 linhas no codigo-fonte)</t>
        </is>
      </c>
      <c r="D4" s="7" t="inlineStr">
        <is>
          <t>Tela Inicial (todos os tipos)</t>
        </is>
      </c>
    </row>
    <row r="5">
      <c r="A5" s="7" t="inlineStr">
        <is>
          <t>Notificado</t>
        </is>
      </c>
      <c r="B5" s="7" t="inlineStr">
        <is>
          <t>Ls_Notificado</t>
        </is>
      </c>
      <c r="C5" s="7" t="inlineStr">
        <is>
          <t>(Valores nao especificados no documento)</t>
        </is>
      </c>
      <c r="D5" s="7" t="inlineStr">
        <is>
          <t>Tela Inicial (todos os tipos)</t>
        </is>
      </c>
    </row>
    <row r="6">
      <c r="A6" s="7" t="inlineStr">
        <is>
          <t>Servico Executado (Substituicao)</t>
        </is>
      </c>
      <c r="B6" s="7" t="inlineStr">
        <is>
          <t>Ls_Substituicao_de_Equipamentos_Executada</t>
        </is>
      </c>
      <c r="C6" s="7" t="inlineStr">
        <is>
          <t>SERVICO EXECUTADO? *; INSTALAR CONJUNTO; RETIRADO; TROCA DE CONJUNTO SEM CRIME; INSTALADO RETIRADO NAO ALTERADO</t>
        </is>
      </c>
      <c r="D6" s="7" t="inlineStr">
        <is>
          <t>Substituicao de Equipamentos</t>
        </is>
      </c>
    </row>
    <row r="7">
      <c r="A7" s="7" t="inlineStr">
        <is>
          <t>Ligacao Executada</t>
        </is>
      </c>
      <c r="B7" s="7" t="inlineStr">
        <is>
          <t>Ls_Ligacao_Executada</t>
        </is>
      </c>
      <c r="C7" s="7" t="inlineStr">
        <is>
          <t>LIGACAO EXECUTADA? *; SIM; NAO</t>
        </is>
      </c>
      <c r="D7" s="7" t="inlineStr">
        <is>
          <t>Ligacao Nova</t>
        </is>
      </c>
    </row>
    <row r="8">
      <c r="A8" s="7" t="inlineStr">
        <is>
          <t>Qtde Medidor BT</t>
        </is>
      </c>
      <c r="B8" s="7" t="inlineStr">
        <is>
          <t>Ls_Qtde_Medididor_BT</t>
        </is>
      </c>
      <c r="C8" s="7" t="inlineStr">
        <is>
          <t>QTDE MEDIDOR BT *; 1; 2; 3; 4</t>
        </is>
      </c>
      <c r="D8" s="7" t="inlineStr">
        <is>
          <t>Ligacao Nova</t>
        </is>
      </c>
    </row>
    <row r="9">
      <c r="A9" s="7" t="inlineStr">
        <is>
          <t>Medidor BT Retirado/Cortado</t>
        </is>
      </c>
      <c r="B9" s="7" t="inlineStr">
        <is>
          <t>Ls_Medididor_BT_Retirado_ou_Cortado</t>
        </is>
      </c>
      <c r="C9" s="7" t="inlineStr">
        <is>
          <t>MEDIDOR BT RETIRADO/CORTADO *; SIM; NAO</t>
        </is>
      </c>
      <c r="D9" s="7" t="inlineStr">
        <is>
          <t>Ligacao Nova</t>
        </is>
      </c>
    </row>
    <row r="10">
      <c r="A10" s="7" t="inlineStr">
        <is>
          <t>Contato Cliente</t>
        </is>
      </c>
      <c r="B10" s="7" t="inlineStr">
        <is>
          <t>Ls_Contato_Cliente</t>
        </is>
      </c>
      <c r="C10" s="7" t="inlineStr">
        <is>
          <t>CONTATO CLIENTE *; SIM; NAO; N/A</t>
        </is>
      </c>
      <c r="D10" s="7" t="inlineStr">
        <is>
          <t>Corte UC Def Tecnico; PRE-APR</t>
        </is>
      </c>
    </row>
    <row r="11">
      <c r="A11" s="7" t="inlineStr">
        <is>
          <t>Medicao Avariada</t>
        </is>
      </c>
      <c r="B11" s="7" t="inlineStr">
        <is>
          <t>Ls_Medicao_Avariada</t>
        </is>
      </c>
      <c r="C11" s="7" t="inlineStr">
        <is>
          <t>MEDIÇÃO AVARIADA? *; SIM; NAO</t>
        </is>
      </c>
      <c r="D11" s="7" t="inlineStr">
        <is>
          <t>Corte UC Def Tecnico; PRE-APR</t>
        </is>
      </c>
    </row>
    <row r="12">
      <c r="A12" s="7" t="inlineStr">
        <is>
          <t>Necessario Linha Viva</t>
        </is>
      </c>
      <c r="B12" s="7" t="inlineStr">
        <is>
          <t>Ls_Necessario_Linha_Viva</t>
        </is>
      </c>
      <c r="C12" s="7" t="inlineStr">
        <is>
          <t>NECESSARIO LINHA VIVA? *; SIM; NAO</t>
        </is>
      </c>
      <c r="D12" s="7" t="inlineStr">
        <is>
          <t>Corte UC Def Tecnico; PRE-APR</t>
        </is>
      </c>
    </row>
    <row r="13">
      <c r="A13" s="7" t="inlineStr">
        <is>
          <t>Quantidade Aterramento</t>
        </is>
      </c>
      <c r="B13" s="7" t="inlineStr">
        <is>
          <t>Ls_Quantidade_Aterramento</t>
        </is>
      </c>
      <c r="C13" s="7" t="inlineStr">
        <is>
          <t>QUANTIDADE ATERRAMENTOS *; 1; 2; 3; 4; 5; 6; 7; 8; 9; 10</t>
        </is>
      </c>
      <c r="D13" s="7" t="inlineStr">
        <is>
          <t>Corte UC Def Tecnico; PRE-APR</t>
        </is>
      </c>
    </row>
    <row r="14">
      <c r="A14" s="7" t="inlineStr">
        <is>
          <t>TOI</t>
        </is>
      </c>
      <c r="B14" s="7" t="inlineStr">
        <is>
          <t>Ls_TOI</t>
        </is>
      </c>
      <c r="C14" s="7" t="inlineStr">
        <is>
          <t>TOI *; APLICADO TOI; NAO FOI APLICADO TOI; PERDAS JA APLICOU TOI</t>
        </is>
      </c>
      <c r="D14" s="7" t="inlineStr">
        <is>
          <t>Inspecao UC Cortada; Acrescimo Potencia</t>
        </is>
      </c>
    </row>
    <row r="15">
      <c r="A15" s="7" t="inlineStr">
        <is>
          <t>Corte/Religacao Apos Corte</t>
        </is>
      </c>
      <c r="B15" s="7" t="inlineStr">
        <is>
          <t>Ls_Corte_ou_Religacao_Apos_Corte</t>
        </is>
      </c>
      <c r="C15" s="7" t="inlineStr">
        <is>
          <t>CORTE/RELIGACAO APOS CORTE *; EXECUTOU CORTE; EXECUTOU RELIGACAO</t>
        </is>
      </c>
      <c r="D15" s="7" t="inlineStr">
        <is>
          <t>Corte Falta Pagamento; Corte UC Def Tecnico</t>
        </is>
      </c>
    </row>
    <row r="16">
      <c r="A16" s="7" t="inlineStr">
        <is>
          <t>Marca Remota Instalada</t>
        </is>
      </c>
      <c r="B16" s="7" t="inlineStr">
        <is>
          <t>Ls_Marca_Remota_Instalada</t>
        </is>
      </c>
      <c r="C16" s="7" t="inlineStr">
        <is>
          <t>SEM ALTERACAO; MARCA_A; MARCA_B; ... (demais marcas)</t>
        </is>
      </c>
      <c r="D16" s="7" t="inlineStr">
        <is>
          <t>Telem manutencao (instalada)</t>
        </is>
      </c>
    </row>
    <row r="17">
      <c r="A17" s="7" t="inlineStr">
        <is>
          <t>Marca Remota Retirada</t>
        </is>
      </c>
      <c r="B17" s="7" t="inlineStr">
        <is>
          <t>Ls_Marca_Remota_Retirada</t>
        </is>
      </c>
      <c r="C17" s="7" t="inlineStr">
        <is>
          <t>SEM ALTERACAO; MARCA_A; MARCA_B; ... (demais marcas)</t>
        </is>
      </c>
      <c r="D17" s="7" t="inlineStr">
        <is>
          <t>Telem manutencao (retirada)</t>
        </is>
      </c>
    </row>
    <row r="18">
      <c r="A18" s="7" t="inlineStr">
        <is>
          <t>Operadora Chip Instalado</t>
        </is>
      </c>
      <c r="B18" s="7" t="inlineStr">
        <is>
          <t>Ls_Operadora_Chip_Instalada</t>
        </is>
      </c>
      <c r="C18" s="7" t="inlineStr">
        <is>
          <t>SEM ALTERACAO; CLARO; TIM; VIVO; OI; ALGAR; OUTRA</t>
        </is>
      </c>
      <c r="D18" s="7" t="inlineStr">
        <is>
          <t>Telem manutencao (instalada)</t>
        </is>
      </c>
    </row>
    <row r="19">
      <c r="A19" s="7" t="inlineStr">
        <is>
          <t>Operadora Chip Retirado</t>
        </is>
      </c>
      <c r="B19" s="7" t="inlineStr">
        <is>
          <t>Ls_Operadora_Chip_Retirada</t>
        </is>
      </c>
      <c r="C19" s="7" t="inlineStr">
        <is>
          <t>SEM ALTERACAO; CLARO; TIM; VIVO; OI; ALGAR; OUTRA</t>
        </is>
      </c>
      <c r="D19" s="7" t="inlineStr">
        <is>
          <t>Telem manutencao (retirada)</t>
        </is>
      </c>
    </row>
    <row r="20">
      <c r="A20" s="7" t="inlineStr">
        <is>
          <t>Servico Executado (Display)</t>
        </is>
      </c>
      <c r="B20" s="7" t="inlineStr">
        <is>
          <t>Ls_Substituicao_de_Display_Executada</t>
        </is>
      </c>
      <c r="C20" s="7" t="inlineStr">
        <is>
          <t>(Valores nao detalhados no documento - similar ao de substituicao de equipamentos)</t>
        </is>
      </c>
      <c r="D20" s="7" t="inlineStr">
        <is>
          <t>Substituicao/Instalacao Display</t>
        </is>
      </c>
    </row>
    <row r="21">
      <c r="A21" s="7" t="inlineStr">
        <is>
          <t>Inspecao UC Cortada Status</t>
        </is>
      </c>
      <c r="B21" s="7" t="inlineStr">
        <is>
          <t>Ls_Inspecao_UC_Cortada_Status</t>
        </is>
      </c>
      <c r="C21" s="7" t="inlineStr">
        <is>
          <t>(Valores nao detalhados no documento)</t>
        </is>
      </c>
      <c r="D21" s="7" t="inlineStr">
        <is>
          <t>Inspecao UC Cortada</t>
        </is>
      </c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0" customWidth="1" min="3" max="3"/>
    <col width="30" customWidth="1" min="4" max="4"/>
    <col width="45" customWidth="1" min="5" max="5"/>
    <col width="50" customWidth="1" min="6" max="6"/>
    <col width="40" customWidth="1" min="7" max="7"/>
  </cols>
  <sheetData>
    <row r="1">
      <c r="A1" s="1" t="inlineStr">
        <is>
          <t>Campo Gatilho (Select)</t>
        </is>
      </c>
      <c r="B1" s="1" t="inlineStr">
        <is>
          <t>ID Gatilho</t>
        </is>
      </c>
      <c r="C1" s="1" t="inlineStr">
        <is>
          <t>Condicao</t>
        </is>
      </c>
      <c r="D1" s="1" t="inlineStr">
        <is>
          <t>Campo Afetado</t>
        </is>
      </c>
      <c r="E1" s="1" t="inlineStr">
        <is>
          <t>ID Afetado</t>
        </is>
      </c>
      <c r="F1" s="1" t="inlineStr">
        <is>
          <t>Acao</t>
        </is>
      </c>
      <c r="G1" s="1" t="inlineStr">
        <is>
          <t>Tipo de Ordem Afetado</t>
        </is>
      </c>
    </row>
    <row r="2">
      <c r="A2" s="3" t="inlineStr">
        <is>
          <t>Servico Executado</t>
        </is>
      </c>
      <c r="B2" s="3" t="inlineStr">
        <is>
          <t>Ls_Substituicao_de_Equipamentos_Executada</t>
        </is>
      </c>
      <c r="C2" s="3">
        <f> INSTALAR CONJUNTO</f>
        <v/>
      </c>
      <c r="D2" s="3" t="inlineStr">
        <is>
          <t>Medidor Instalado</t>
        </is>
      </c>
      <c r="E2" s="3" t="inlineStr">
        <is>
          <t>Cs_Informar_Medidor_Instalado</t>
        </is>
      </c>
      <c r="F2" s="3" t="inlineStr">
        <is>
          <t>Exibir e validar (checkbox obrigatorio)</t>
        </is>
      </c>
      <c r="G2" s="3" t="inlineStr">
        <is>
          <t>Substituicao de Equipamentos (7 tipos)</t>
        </is>
      </c>
    </row>
    <row r="3">
      <c r="A3" s="3" t="inlineStr">
        <is>
          <t>Servico Executado</t>
        </is>
      </c>
      <c r="B3" s="3" t="inlineStr">
        <is>
          <t>Ls_Substituicao_de_Equipamentos_Executada</t>
        </is>
      </c>
      <c r="C3" s="3">
        <f> INSTALAR CONJUNTO</f>
        <v/>
      </c>
      <c r="D3" s="3" t="inlineStr">
        <is>
          <t>Conjunto Instalado</t>
        </is>
      </c>
      <c r="E3" s="3" t="inlineStr">
        <is>
          <t>Cs_Informar_Conjunto_Instalado</t>
        </is>
      </c>
      <c r="F3" s="3" t="inlineStr">
        <is>
          <t>Exibir e validar (checkbox obrigatorio)</t>
        </is>
      </c>
      <c r="G3" s="3" t="inlineStr">
        <is>
          <t>Substituicao de Equipamentos (7 tipos)</t>
        </is>
      </c>
    </row>
    <row r="4">
      <c r="A4" s="3" t="inlineStr">
        <is>
          <t>Servico Executado</t>
        </is>
      </c>
      <c r="B4" s="3" t="inlineStr">
        <is>
          <t>Ls_Substituicao_de_Equipamentos_Executada</t>
        </is>
      </c>
      <c r="C4" s="3">
        <f> INSTALAR CONJUNTO</f>
        <v/>
      </c>
      <c r="D4" s="3" t="inlineStr">
        <is>
          <t>Display Instalado</t>
        </is>
      </c>
      <c r="E4" s="3" t="inlineStr">
        <is>
          <t>Cs_Informar_Display_Instalado</t>
        </is>
      </c>
      <c r="F4" s="3" t="inlineStr">
        <is>
          <t>Exibir e validar (checkbox obrigatorio)</t>
        </is>
      </c>
      <c r="G4" s="3" t="inlineStr">
        <is>
          <t>Substituicao de Equipamentos (7 tipos)</t>
        </is>
      </c>
    </row>
    <row r="5">
      <c r="A5" s="3" t="inlineStr">
        <is>
          <t>Servico Executado</t>
        </is>
      </c>
      <c r="B5" s="3" t="inlineStr">
        <is>
          <t>Ls_Substituicao_de_Equipamentos_Executada</t>
        </is>
      </c>
      <c r="C5" s="3">
        <f> INSTALAR CONJUNTO</f>
        <v/>
      </c>
      <c r="D5" s="3" t="inlineStr">
        <is>
          <t>TC Fase A Instalado</t>
        </is>
      </c>
      <c r="E5" s="3" t="inlineStr">
        <is>
          <t>Cs_Informar_TC_FASE_A_Instalado</t>
        </is>
      </c>
      <c r="F5" s="3" t="inlineStr">
        <is>
          <t>Exibir e validar (checkbox obrigatorio)</t>
        </is>
      </c>
      <c r="G5" s="3" t="inlineStr">
        <is>
          <t>Substituicao de Equipamentos (7 tipos)</t>
        </is>
      </c>
    </row>
    <row r="6">
      <c r="A6" s="3" t="inlineStr">
        <is>
          <t>Servico Executado</t>
        </is>
      </c>
      <c r="B6" s="3" t="inlineStr">
        <is>
          <t>Ls_Substituicao_de_Equipamentos_Executada</t>
        </is>
      </c>
      <c r="C6" s="3">
        <f> INSTALAR CONJUNTO</f>
        <v/>
      </c>
      <c r="D6" s="3" t="inlineStr">
        <is>
          <t>TC Fase B Instalado</t>
        </is>
      </c>
      <c r="E6" s="3" t="inlineStr">
        <is>
          <t>Cs_Informar_TC_FASE_B_Instalado</t>
        </is>
      </c>
      <c r="F6" s="3" t="inlineStr">
        <is>
          <t>Exibir e validar (checkbox obrigatorio)</t>
        </is>
      </c>
      <c r="G6" s="3" t="inlineStr">
        <is>
          <t>Substituicao de Equipamentos (7 tipos)</t>
        </is>
      </c>
    </row>
    <row r="7">
      <c r="A7" s="3" t="inlineStr">
        <is>
          <t>Servico Executado</t>
        </is>
      </c>
      <c r="B7" s="3" t="inlineStr">
        <is>
          <t>Ls_Substituicao_de_Equipamentos_Executada</t>
        </is>
      </c>
      <c r="C7" s="3">
        <f> INSTALAR CONJUNTO</f>
        <v/>
      </c>
      <c r="D7" s="3" t="inlineStr">
        <is>
          <t>TC Fase C Instalado</t>
        </is>
      </c>
      <c r="E7" s="3" t="inlineStr">
        <is>
          <t>Cs_Informar_TC_FASE_C_Instalado</t>
        </is>
      </c>
      <c r="F7" s="3" t="inlineStr">
        <is>
          <t>Exibir e validar (checkbox obrigatorio)</t>
        </is>
      </c>
      <c r="G7" s="3" t="inlineStr">
        <is>
          <t>Substituicao de Equipamentos (7 tipos)</t>
        </is>
      </c>
    </row>
    <row r="8">
      <c r="A8" s="3" t="inlineStr">
        <is>
          <t>Servico Executado</t>
        </is>
      </c>
      <c r="B8" s="3" t="inlineStr">
        <is>
          <t>Ls_Substituicao_de_Equipamentos_Executada</t>
        </is>
      </c>
      <c r="C8" s="3">
        <f> INSTALAR CONJUNTO</f>
        <v/>
      </c>
      <c r="D8" s="3" t="inlineStr">
        <is>
          <t>TP Fase A Instalado</t>
        </is>
      </c>
      <c r="E8" s="3" t="inlineStr">
        <is>
          <t>Cs_Informar_TP_FASE_A_Instalado</t>
        </is>
      </c>
      <c r="F8" s="3" t="inlineStr">
        <is>
          <t>Exibir e validar (checkbox obrigatorio)</t>
        </is>
      </c>
      <c r="G8" s="3" t="inlineStr">
        <is>
          <t>Substituicao de Equipamentos (7 tipos)</t>
        </is>
      </c>
    </row>
    <row r="9">
      <c r="A9" s="3" t="inlineStr">
        <is>
          <t>Servico Executado</t>
        </is>
      </c>
      <c r="B9" s="3" t="inlineStr">
        <is>
          <t>Ls_Substituicao_de_Equipamentos_Executada</t>
        </is>
      </c>
      <c r="C9" s="3">
        <f> INSTALAR CONJUNTO</f>
        <v/>
      </c>
      <c r="D9" s="3" t="inlineStr">
        <is>
          <t>TP Fase B Instalado</t>
        </is>
      </c>
      <c r="E9" s="3" t="inlineStr">
        <is>
          <t>Cs_Informar_TP_FASE_B_Instalado</t>
        </is>
      </c>
      <c r="F9" s="3" t="inlineStr">
        <is>
          <t>Exibir e validar (checkbox obrigatorio)</t>
        </is>
      </c>
      <c r="G9" s="3" t="inlineStr">
        <is>
          <t>Substituicao de Equipamentos (7 tipos)</t>
        </is>
      </c>
    </row>
    <row r="10">
      <c r="A10" s="3" t="inlineStr">
        <is>
          <t>Servico Executado</t>
        </is>
      </c>
      <c r="B10" s="3" t="inlineStr">
        <is>
          <t>Ls_Substituicao_de_Equipamentos_Executada</t>
        </is>
      </c>
      <c r="C10" s="3">
        <f> INSTALAR CONJUNTO</f>
        <v/>
      </c>
      <c r="D10" s="3" t="inlineStr">
        <is>
          <t>TP Fase C Instalado</t>
        </is>
      </c>
      <c r="E10" s="3" t="inlineStr">
        <is>
          <t>Cs_Informar_TP_FASE_C_Instalado</t>
        </is>
      </c>
      <c r="F10" s="3" t="inlineStr">
        <is>
          <t>Exibir e validar (checkbox obrigatorio)</t>
        </is>
      </c>
      <c r="G10" s="3" t="inlineStr">
        <is>
          <t>Substituicao de Equipamentos (7 tipos)</t>
        </is>
      </c>
    </row>
    <row r="11">
      <c r="A11" s="3" t="inlineStr">
        <is>
          <t>Servico Executado</t>
        </is>
      </c>
      <c r="B11" s="3" t="inlineStr">
        <is>
          <t>Ls_Substituicao_de_Equipamentos_Executada</t>
        </is>
      </c>
      <c r="C11" s="3">
        <f> RETIRADO</f>
        <v/>
      </c>
      <c r="D11" s="3" t="inlineStr">
        <is>
          <t>Medidor Retirado</t>
        </is>
      </c>
      <c r="E11" s="3" t="inlineStr">
        <is>
          <t>Cs_Informar_Medidor_Retirado</t>
        </is>
      </c>
      <c r="F11" s="3" t="inlineStr">
        <is>
          <t>Exibir e validar (checkbox obrigatorio)</t>
        </is>
      </c>
      <c r="G11" s="3" t="inlineStr">
        <is>
          <t>Substituicao de Equipamentos (7 tipos)</t>
        </is>
      </c>
    </row>
    <row r="12">
      <c r="A12" s="3" t="inlineStr">
        <is>
          <t>Servico Executado</t>
        </is>
      </c>
      <c r="B12" s="3" t="inlineStr">
        <is>
          <t>Ls_Substituicao_de_Equipamentos_Executada</t>
        </is>
      </c>
      <c r="C12" s="3">
        <f> RETIRADO</f>
        <v/>
      </c>
      <c r="D12" s="3" t="inlineStr">
        <is>
          <t>Conjunto Retirado</t>
        </is>
      </c>
      <c r="E12" s="3" t="inlineStr">
        <is>
          <t>Cs_Informar_Conjunto_Retirado</t>
        </is>
      </c>
      <c r="F12" s="3" t="inlineStr">
        <is>
          <t>Exibir e validar (checkbox obrigatorio)</t>
        </is>
      </c>
      <c r="G12" s="3" t="inlineStr">
        <is>
          <t>Substituicao de Equipamentos (7 tipos)</t>
        </is>
      </c>
    </row>
    <row r="13">
      <c r="A13" s="3" t="inlineStr">
        <is>
          <t>Servico Executado</t>
        </is>
      </c>
      <c r="B13" s="3" t="inlineStr">
        <is>
          <t>Ls_Substituicao_de_Equipamentos_Executada</t>
        </is>
      </c>
      <c r="C13" s="3">
        <f> RETIRADO</f>
        <v/>
      </c>
      <c r="D13" s="3" t="inlineStr">
        <is>
          <t>Display Retirado</t>
        </is>
      </c>
      <c r="E13" s="3" t="inlineStr">
        <is>
          <t>Cs_Informar_Display_Retirado</t>
        </is>
      </c>
      <c r="F13" s="3" t="inlineStr">
        <is>
          <t>Exibir e validar (checkbox obrigatorio)</t>
        </is>
      </c>
      <c r="G13" s="3" t="inlineStr">
        <is>
          <t>Substituicao de Equipamentos (7 tipos)</t>
        </is>
      </c>
    </row>
    <row r="14">
      <c r="A14" s="3" t="inlineStr">
        <is>
          <t>Servico Executado</t>
        </is>
      </c>
      <c r="B14" s="3" t="inlineStr">
        <is>
          <t>Ls_Substituicao_de_Equipamentos_Executada</t>
        </is>
      </c>
      <c r="C14" s="3">
        <f> RETIRADO</f>
        <v/>
      </c>
      <c r="D14" s="3" t="inlineStr">
        <is>
          <t>TC Fase A Retirado</t>
        </is>
      </c>
      <c r="E14" s="3" t="inlineStr">
        <is>
          <t>Cs_Informar_TC_FASE_A_Retirado</t>
        </is>
      </c>
      <c r="F14" s="3" t="inlineStr">
        <is>
          <t>Exibir e validar (checkbox obrigatorio)</t>
        </is>
      </c>
      <c r="G14" s="3" t="inlineStr">
        <is>
          <t>Substituicao de Equipamentos (7 tipos)</t>
        </is>
      </c>
    </row>
    <row r="15">
      <c r="A15" s="3" t="inlineStr">
        <is>
          <t>Servico Executado</t>
        </is>
      </c>
      <c r="B15" s="3" t="inlineStr">
        <is>
          <t>Ls_Substituicao_de_Equipamentos_Executada</t>
        </is>
      </c>
      <c r="C15" s="3">
        <f> RETIRADO</f>
        <v/>
      </c>
      <c r="D15" s="3" t="inlineStr">
        <is>
          <t>TC Fase B Retirado</t>
        </is>
      </c>
      <c r="E15" s="3" t="inlineStr">
        <is>
          <t>Cs_Informar_TC_FASE_B_Retirado</t>
        </is>
      </c>
      <c r="F15" s="3" t="inlineStr">
        <is>
          <t>Exibir e validar (checkbox obrigatorio)</t>
        </is>
      </c>
      <c r="G15" s="3" t="inlineStr">
        <is>
          <t>Substituicao de Equipamentos (7 tipos)</t>
        </is>
      </c>
    </row>
    <row r="16">
      <c r="A16" s="3" t="inlineStr">
        <is>
          <t>Servico Executado</t>
        </is>
      </c>
      <c r="B16" s="3" t="inlineStr">
        <is>
          <t>Ls_Substituicao_de_Equipamentos_Executada</t>
        </is>
      </c>
      <c r="C16" s="3">
        <f> RETIRADO</f>
        <v/>
      </c>
      <c r="D16" s="3" t="inlineStr">
        <is>
          <t>TC Fase C Retirado</t>
        </is>
      </c>
      <c r="E16" s="3" t="inlineStr">
        <is>
          <t>Cs_Informar_TC_FASE_C_Retirado</t>
        </is>
      </c>
      <c r="F16" s="3" t="inlineStr">
        <is>
          <t>Exibir e validar (checkbox obrigatorio)</t>
        </is>
      </c>
      <c r="G16" s="3" t="inlineStr">
        <is>
          <t>Substituicao de Equipamentos (7 tipos)</t>
        </is>
      </c>
    </row>
    <row r="17">
      <c r="A17" s="3" t="inlineStr">
        <is>
          <t>Servico Executado</t>
        </is>
      </c>
      <c r="B17" s="3" t="inlineStr">
        <is>
          <t>Ls_Substituicao_de_Equipamentos_Executada</t>
        </is>
      </c>
      <c r="C17" s="3">
        <f> RETIRADO</f>
        <v/>
      </c>
      <c r="D17" s="3" t="inlineStr">
        <is>
          <t>TP Fase A Retirado</t>
        </is>
      </c>
      <c r="E17" s="3" t="inlineStr">
        <is>
          <t>Cs_Informar_TP_FASE_A_Retirado</t>
        </is>
      </c>
      <c r="F17" s="3" t="inlineStr">
        <is>
          <t>Exibir e validar (checkbox obrigatorio)</t>
        </is>
      </c>
      <c r="G17" s="3" t="inlineStr">
        <is>
          <t>Substituicao de Equipamentos (7 tipos)</t>
        </is>
      </c>
    </row>
    <row r="18">
      <c r="A18" s="3" t="inlineStr">
        <is>
          <t>Servico Executado</t>
        </is>
      </c>
      <c r="B18" s="3" t="inlineStr">
        <is>
          <t>Ls_Substituicao_de_Equipamentos_Executada</t>
        </is>
      </c>
      <c r="C18" s="3">
        <f> RETIRADO</f>
        <v/>
      </c>
      <c r="D18" s="3" t="inlineStr">
        <is>
          <t>TP Fase B Retirado</t>
        </is>
      </c>
      <c r="E18" s="3" t="inlineStr">
        <is>
          <t>Cs_Informar_TP_FASE_B_Retirado</t>
        </is>
      </c>
      <c r="F18" s="3" t="inlineStr">
        <is>
          <t>Exibir e validar (checkbox obrigatorio)</t>
        </is>
      </c>
      <c r="G18" s="3" t="inlineStr">
        <is>
          <t>Substituicao de Equipamentos (7 tipos)</t>
        </is>
      </c>
    </row>
    <row r="19">
      <c r="A19" s="3" t="inlineStr">
        <is>
          <t>Servico Executado</t>
        </is>
      </c>
      <c r="B19" s="3" t="inlineStr">
        <is>
          <t>Ls_Substituicao_de_Equipamentos_Executada</t>
        </is>
      </c>
      <c r="C19" s="3">
        <f> RETIRADO</f>
        <v/>
      </c>
      <c r="D19" s="3" t="inlineStr">
        <is>
          <t>TP Fase C Retirado</t>
        </is>
      </c>
      <c r="E19" s="3" t="inlineStr">
        <is>
          <t>Cs_Informar_TP_FASE_C_Retirado</t>
        </is>
      </c>
      <c r="F19" s="3" t="inlineStr">
        <is>
          <t>Exibir e validar (checkbox obrigatorio)</t>
        </is>
      </c>
      <c r="G19" s="3" t="inlineStr">
        <is>
          <t>Substituicao de Equipamentos (7 tipos)</t>
        </is>
      </c>
    </row>
    <row r="20">
      <c r="A20" s="3" t="inlineStr">
        <is>
          <t>Medicao Avariada</t>
        </is>
      </c>
      <c r="B20" s="3" t="inlineStr">
        <is>
          <t>Ls_Medicao_Avariada</t>
        </is>
      </c>
      <c r="C20" s="3">
        <f> SIM</f>
        <v/>
      </c>
      <c r="D20" s="3" t="inlineStr">
        <is>
          <t>Problema Medicao</t>
        </is>
      </c>
      <c r="E20" s="3" t="inlineStr">
        <is>
          <t>Txt_Problema_Medicao</t>
        </is>
      </c>
      <c r="F20" s="3" t="inlineStr">
        <is>
          <t>Exibir e validar (campo texto obrigatorio)</t>
        </is>
      </c>
      <c r="G20" s="3" t="inlineStr">
        <is>
          <t>Corte UC Def Tecnico</t>
        </is>
      </c>
    </row>
    <row r="21">
      <c r="A21" s="8" t="inlineStr">
        <is>
          <t>Medicao Avariada</t>
        </is>
      </c>
      <c r="B21" s="8" t="inlineStr">
        <is>
          <t>Ls_Medicao_Avariada</t>
        </is>
      </c>
      <c r="C21" s="8">
        <f> NAO</f>
        <v/>
      </c>
      <c r="D21" s="8" t="inlineStr">
        <is>
          <t>Problema Medicao</t>
        </is>
      </c>
      <c r="E21" s="8" t="inlineStr">
        <is>
          <t>Txt_Problema_Medicao</t>
        </is>
      </c>
      <c r="F21" s="8" t="inlineStr">
        <is>
          <t>Ocultar campo</t>
        </is>
      </c>
      <c r="G21" s="8" t="inlineStr">
        <is>
          <t>Corte UC Def Tecnico</t>
        </is>
      </c>
    </row>
    <row r="22">
      <c r="A22" s="3" t="inlineStr">
        <is>
          <t>Necessario Linha Viva</t>
        </is>
      </c>
      <c r="B22" s="3" t="inlineStr">
        <is>
          <t>Ls_Necessario_Linha_Viva</t>
        </is>
      </c>
      <c r="C22" s="3">
        <f> SIM</f>
        <v/>
      </c>
      <c r="D22" s="3" t="inlineStr">
        <is>
          <t>Por que Linha Viva</t>
        </is>
      </c>
      <c r="E22" s="3" t="inlineStr">
        <is>
          <t>Txt_Porque_Linha_Viva</t>
        </is>
      </c>
      <c r="F22" s="3" t="inlineStr">
        <is>
          <t>Exibir e validar (campo texto obrigatorio)</t>
        </is>
      </c>
      <c r="G22" s="3" t="inlineStr">
        <is>
          <t>Corte UC Def Tecnico</t>
        </is>
      </c>
    </row>
    <row r="23">
      <c r="A23" s="8" t="inlineStr">
        <is>
          <t>Necessario Linha Viva</t>
        </is>
      </c>
      <c r="B23" s="8" t="inlineStr">
        <is>
          <t>Ls_Necessario_Linha_Viva</t>
        </is>
      </c>
      <c r="C23" s="8">
        <f> NAO</f>
        <v/>
      </c>
      <c r="D23" s="8" t="inlineStr">
        <is>
          <t>Por que Linha Viva</t>
        </is>
      </c>
      <c r="E23" s="8" t="inlineStr">
        <is>
          <t>Txt_Porque_Linha_Viva</t>
        </is>
      </c>
      <c r="F23" s="8" t="inlineStr">
        <is>
          <t>Ocultar campo</t>
        </is>
      </c>
      <c r="G23" s="8" t="inlineStr">
        <is>
          <t>Corte UC Def Tecnico</t>
        </is>
      </c>
    </row>
    <row r="24">
      <c r="A24" s="3" t="inlineStr">
        <is>
          <t>Contato Cliente</t>
        </is>
      </c>
      <c r="B24" s="3" t="inlineStr">
        <is>
          <t>Ls_Contato_Cliente</t>
        </is>
      </c>
      <c r="C24" s="3">
        <f> SIM</f>
        <v/>
      </c>
      <c r="D24" s="3" t="inlineStr">
        <is>
          <t>Nome Responsavel</t>
        </is>
      </c>
      <c r="E24" s="3" t="inlineStr">
        <is>
          <t>Txt_Nome_Responsavel</t>
        </is>
      </c>
      <c r="F24" s="3" t="inlineStr">
        <is>
          <t>Exibir e validar (campo texto obrigatorio)</t>
        </is>
      </c>
      <c r="G24" s="3" t="inlineStr">
        <is>
          <t>Corte UC Def Tecnico</t>
        </is>
      </c>
    </row>
    <row r="25">
      <c r="A25" s="3" t="inlineStr">
        <is>
          <t>Contato Cliente</t>
        </is>
      </c>
      <c r="B25" s="3" t="inlineStr">
        <is>
          <t>Ls_Contato_Cliente</t>
        </is>
      </c>
      <c r="C25" s="3">
        <f> SIM</f>
        <v/>
      </c>
      <c r="D25" s="3" t="inlineStr">
        <is>
          <t>Celular</t>
        </is>
      </c>
      <c r="E25" s="3" t="inlineStr">
        <is>
          <t>Txt_Celular</t>
        </is>
      </c>
      <c r="F25" s="3" t="inlineStr">
        <is>
          <t>Exibir e validar (campo texto obrigatorio)</t>
        </is>
      </c>
      <c r="G25" s="3" t="inlineStr">
        <is>
          <t>Corte UC Def Tecnico</t>
        </is>
      </c>
    </row>
    <row r="26">
      <c r="A26" s="3" t="inlineStr">
        <is>
          <t>Contato Cliente</t>
        </is>
      </c>
      <c r="B26" s="3" t="inlineStr">
        <is>
          <t>Ls_Contato_Cliente</t>
        </is>
      </c>
      <c r="C26" s="3">
        <f> SIM</f>
        <v/>
      </c>
      <c r="D26" s="3" t="inlineStr">
        <is>
          <t>Telefone Fixo</t>
        </is>
      </c>
      <c r="E26" s="3" t="inlineStr">
        <is>
          <t>Txt_Telefone_Fixo</t>
        </is>
      </c>
      <c r="F26" s="3" t="inlineStr">
        <is>
          <t>Exibir e validar (campo texto obrigatorio)</t>
        </is>
      </c>
      <c r="G26" s="3" t="inlineStr">
        <is>
          <t>Corte UC Def Tecnico</t>
        </is>
      </c>
    </row>
    <row r="27">
      <c r="A27" s="3" t="inlineStr">
        <is>
          <t>Contato Cliente</t>
        </is>
      </c>
      <c r="B27" s="3" t="inlineStr">
        <is>
          <t>Ls_Contato_Cliente</t>
        </is>
      </c>
      <c r="C27" s="3">
        <f> SIM</f>
        <v/>
      </c>
      <c r="D27" s="3" t="inlineStr">
        <is>
          <t>Email Contato</t>
        </is>
      </c>
      <c r="E27" s="3" t="inlineStr">
        <is>
          <t>Txt_Email_Contato</t>
        </is>
      </c>
      <c r="F27" s="3" t="inlineStr">
        <is>
          <t>Exibir e validar (campo texto obrigatorio)</t>
        </is>
      </c>
      <c r="G27" s="3" t="inlineStr">
        <is>
          <t>Corte UC Def Tecnico</t>
        </is>
      </c>
    </row>
    <row r="28">
      <c r="A28" s="8" t="inlineStr">
        <is>
          <t>Contato Cliente</t>
        </is>
      </c>
      <c r="B28" s="8" t="inlineStr">
        <is>
          <t>Ls_Contato_Cliente</t>
        </is>
      </c>
      <c r="C28" s="8">
        <f> NAO ou N/A</f>
        <v/>
      </c>
      <c r="D28" s="8" t="inlineStr">
        <is>
          <t>Nome Responsavel</t>
        </is>
      </c>
      <c r="E28" s="8" t="inlineStr">
        <is>
          <t>Txt_Nome_Responsavel</t>
        </is>
      </c>
      <c r="F28" s="8" t="inlineStr">
        <is>
          <t>Ocultar campo e limpar valor</t>
        </is>
      </c>
      <c r="G28" s="8" t="inlineStr">
        <is>
          <t>Corte UC Def Tecnico</t>
        </is>
      </c>
    </row>
    <row r="29">
      <c r="A29" s="8" t="inlineStr">
        <is>
          <t>Contato Cliente</t>
        </is>
      </c>
      <c r="B29" s="8" t="inlineStr">
        <is>
          <t>Ls_Contato_Cliente</t>
        </is>
      </c>
      <c r="C29" s="8">
        <f> NAO ou N/A</f>
        <v/>
      </c>
      <c r="D29" s="8" t="inlineStr">
        <is>
          <t>Celular</t>
        </is>
      </c>
      <c r="E29" s="8" t="inlineStr">
        <is>
          <t>Txt_Celular</t>
        </is>
      </c>
      <c r="F29" s="8" t="inlineStr">
        <is>
          <t>Ocultar campo e limpar valor</t>
        </is>
      </c>
      <c r="G29" s="8" t="inlineStr">
        <is>
          <t>Corte UC Def Tecnico</t>
        </is>
      </c>
    </row>
    <row r="30">
      <c r="A30" s="8" t="inlineStr">
        <is>
          <t>Contato Cliente</t>
        </is>
      </c>
      <c r="B30" s="8" t="inlineStr">
        <is>
          <t>Ls_Contato_Cliente</t>
        </is>
      </c>
      <c r="C30" s="8">
        <f> NAO ou N/A</f>
        <v/>
      </c>
      <c r="D30" s="8" t="inlineStr">
        <is>
          <t>Telefone Fixo</t>
        </is>
      </c>
      <c r="E30" s="8" t="inlineStr">
        <is>
          <t>Txt_Telefone_Fixo</t>
        </is>
      </c>
      <c r="F30" s="8" t="inlineStr">
        <is>
          <t>Ocultar campo e limpar valor</t>
        </is>
      </c>
      <c r="G30" s="8" t="inlineStr">
        <is>
          <t>Corte UC Def Tecnico</t>
        </is>
      </c>
    </row>
    <row r="31">
      <c r="A31" s="8" t="inlineStr">
        <is>
          <t>Contato Cliente</t>
        </is>
      </c>
      <c r="B31" s="8" t="inlineStr">
        <is>
          <t>Ls_Contato_Cliente</t>
        </is>
      </c>
      <c r="C31" s="8">
        <f> NAO ou N/A</f>
        <v/>
      </c>
      <c r="D31" s="8" t="inlineStr">
        <is>
          <t>Email Contato</t>
        </is>
      </c>
      <c r="E31" s="8" t="inlineStr">
        <is>
          <t>Txt_Email_Contato</t>
        </is>
      </c>
      <c r="F31" s="8" t="inlineStr">
        <is>
          <t>Ocultar campo e limpar valor</t>
        </is>
      </c>
      <c r="G31" s="8" t="inlineStr">
        <is>
          <t>Corte UC Def Tecnico</t>
        </is>
      </c>
    </row>
    <row r="32">
      <c r="A32" s="3" t="inlineStr">
        <is>
          <t>TOI</t>
        </is>
      </c>
      <c r="B32" s="3" t="inlineStr">
        <is>
          <t>Ls_TOI</t>
        </is>
      </c>
      <c r="C32" s="3">
        <f> APLICADO TOI</f>
        <v/>
      </c>
      <c r="D32" s="3" t="inlineStr">
        <is>
          <t>Numero TOI</t>
        </is>
      </c>
      <c r="E32" s="3" t="inlineStr">
        <is>
          <t>Txt_Numero_TOI</t>
        </is>
      </c>
      <c r="F32" s="3" t="inlineStr">
        <is>
          <t>Exibir Tela_Numero_TOI, ocultar Tela_Pq_Nao_Foi_Aplicado_TOI</t>
        </is>
      </c>
      <c r="G32" s="3" t="inlineStr">
        <is>
          <t>Inspecao UC Cortada; Acrescimo Potencia</t>
        </is>
      </c>
    </row>
    <row r="33">
      <c r="A33" s="3" t="inlineStr">
        <is>
          <t>TOI</t>
        </is>
      </c>
      <c r="B33" s="3" t="inlineStr">
        <is>
          <t>Ls_TOI</t>
        </is>
      </c>
      <c r="C33" s="3">
        <f> NAO FOI APLICADO TOI</f>
        <v/>
      </c>
      <c r="D33" s="3" t="inlineStr">
        <is>
          <t>Por que nao aplicado TOI</t>
        </is>
      </c>
      <c r="E33" s="3" t="inlineStr">
        <is>
          <t>Txt_Pq_Nao_Foi_Aplicado_TOI</t>
        </is>
      </c>
      <c r="F33" s="3" t="inlineStr">
        <is>
          <t>Exibir Tela_Pq_Nao_Foi_Aplicado_TOI, ocultar Tela_Numero_TOI</t>
        </is>
      </c>
      <c r="G33" s="3" t="inlineStr">
        <is>
          <t>Inspecao UC Cortada; Acrescimo Potencia</t>
        </is>
      </c>
    </row>
    <row r="34">
      <c r="A34" s="7" t="inlineStr">
        <is>
          <t>TOI</t>
        </is>
      </c>
      <c r="B34" s="7" t="inlineStr">
        <is>
          <t>Ls_TOI</t>
        </is>
      </c>
      <c r="C34" s="7">
        <f> PERDAS JA APLICOU TOI</f>
        <v/>
      </c>
      <c r="D34" s="7" t="inlineStr">
        <is>
          <t>(ambos)</t>
        </is>
      </c>
      <c r="E34" s="7" t="inlineStr">
        <is>
          <t>-</t>
        </is>
      </c>
      <c r="F34" s="7" t="inlineStr">
        <is>
          <t>Ocultar ambos: Tela_Numero_TOI e Tela_Pq_Nao_Foi_Aplicado_TOI</t>
        </is>
      </c>
      <c r="G34" s="7" t="inlineStr">
        <is>
          <t>Inspecao UC Cortada; Acrescimo Potencia</t>
        </is>
      </c>
    </row>
    <row r="35">
      <c r="A35" s="3" t="inlineStr">
        <is>
          <t>Marca Remota Instalada</t>
        </is>
      </c>
      <c r="B35" s="3" t="inlineStr">
        <is>
          <t>Ls_Marca_Remota_Instalada</t>
        </is>
      </c>
      <c r="C35" s="3" t="inlineStr">
        <is>
          <t>!= SEM ALTERACAO</t>
        </is>
      </c>
      <c r="D35" s="3" t="inlineStr">
        <is>
          <t>Porta Remota Instalada</t>
        </is>
      </c>
      <c r="E35" s="3" t="inlineStr">
        <is>
          <t>Txt_Porta_Marca_Remota_Instalada</t>
        </is>
      </c>
      <c r="F35" s="3" t="inlineStr">
        <is>
          <t>Habilitar campo porta</t>
        </is>
      </c>
      <c r="G35" s="3" t="inlineStr">
        <is>
          <t>Telem manutencao</t>
        </is>
      </c>
    </row>
    <row r="36">
      <c r="A36" s="8" t="inlineStr">
        <is>
          <t>Marca Remota Instalada</t>
        </is>
      </c>
      <c r="B36" s="8" t="inlineStr">
        <is>
          <t>Ls_Marca_Remota_Instalada</t>
        </is>
      </c>
      <c r="C36" s="8">
        <f> SEM ALTERACAO</f>
        <v/>
      </c>
      <c r="D36" s="8" t="inlineStr">
        <is>
          <t>Porta Remota Instalada</t>
        </is>
      </c>
      <c r="E36" s="8" t="inlineStr">
        <is>
          <t>Txt_Porta_Marca_Remota_Instalada</t>
        </is>
      </c>
      <c r="F36" s="8" t="inlineStr">
        <is>
          <t>Desabilitar campo porta</t>
        </is>
      </c>
      <c r="G36" s="8" t="inlineStr">
        <is>
          <t>Telem manutencao</t>
        </is>
      </c>
    </row>
    <row r="37">
      <c r="A37" s="3" t="inlineStr">
        <is>
          <t>Marca Remota Retirada</t>
        </is>
      </c>
      <c r="B37" s="3" t="inlineStr">
        <is>
          <t>Ls_Marca_Remota_Retirada</t>
        </is>
      </c>
      <c r="C37" s="3" t="inlineStr">
        <is>
          <t>!= SEM ALTERACAO</t>
        </is>
      </c>
      <c r="D37" s="3" t="inlineStr">
        <is>
          <t>Porta Remota Retirada</t>
        </is>
      </c>
      <c r="E37" s="3" t="inlineStr">
        <is>
          <t>Txt_Porta_Marca_Remota_Retirada</t>
        </is>
      </c>
      <c r="F37" s="3" t="inlineStr">
        <is>
          <t>Habilitar campo porta</t>
        </is>
      </c>
      <c r="G37" s="3" t="inlineStr">
        <is>
          <t>Telem manutencao</t>
        </is>
      </c>
    </row>
    <row r="38">
      <c r="A38" s="8" t="inlineStr">
        <is>
          <t>Marca Remota Retirada</t>
        </is>
      </c>
      <c r="B38" s="8" t="inlineStr">
        <is>
          <t>Ls_Marca_Remota_Retirada</t>
        </is>
      </c>
      <c r="C38" s="8">
        <f> SEM ALTERACAO</f>
        <v/>
      </c>
      <c r="D38" s="8" t="inlineStr">
        <is>
          <t>Porta Remota Retirada</t>
        </is>
      </c>
      <c r="E38" s="8" t="inlineStr">
        <is>
          <t>Txt_Porta_Marca_Remota_Retirada</t>
        </is>
      </c>
      <c r="F38" s="8" t="inlineStr">
        <is>
          <t>Desabilitar campo porta</t>
        </is>
      </c>
      <c r="G38" s="8" t="inlineStr">
        <is>
          <t>Telem manutencao</t>
        </is>
      </c>
    </row>
    <row r="39">
      <c r="A39" s="7" t="inlineStr">
        <is>
          <t>Tipo de Ordem</t>
        </is>
      </c>
      <c r="B39" s="7" t="inlineStr">
        <is>
          <t>Ls_Tipo_de_ordem</t>
        </is>
      </c>
      <c r="C39" s="7">
        <f> LIGACAO NOVA (qualquer)</f>
        <v/>
      </c>
      <c r="D39" s="7" t="inlineStr">
        <is>
          <t>Tela Ligacao Nova</t>
        </is>
      </c>
      <c r="E39" s="7" t="inlineStr">
        <is>
          <t>Tela_Execucao_Ligacao_Nova</t>
        </is>
      </c>
      <c r="F39" s="7" t="inlineStr">
        <is>
          <t>Exibir tela (6 campos especificos)</t>
        </is>
      </c>
      <c r="G39" s="7" t="inlineStr">
        <is>
          <t>Ligacao Nova (5 tipos)</t>
        </is>
      </c>
    </row>
    <row r="40">
      <c r="A40" s="7" t="inlineStr">
        <is>
          <t>Tipo de Ordem</t>
        </is>
      </c>
      <c r="B40" s="7" t="inlineStr">
        <is>
          <t>Ls_Tipo_de_ordem</t>
        </is>
      </c>
      <c r="C40" s="7">
        <f> SUBST. (qualquer) / RETIRAR EQUIP.</f>
        <v/>
      </c>
      <c r="D40" s="7" t="inlineStr">
        <is>
          <t>Tela Substituicao</t>
        </is>
      </c>
      <c r="E40" s="7" t="inlineStr">
        <is>
          <t>Tela_Substituicao_de_Equipamentos</t>
        </is>
      </c>
      <c r="F40" s="7" t="inlineStr">
        <is>
          <t>Exibir tela (19 checkboxes)</t>
        </is>
      </c>
      <c r="G40" s="7" t="inlineStr">
        <is>
          <t>Substituicao (7 tipos)</t>
        </is>
      </c>
    </row>
    <row r="41">
      <c r="A41" s="7" t="inlineStr">
        <is>
          <t>Tipo de Ordem</t>
        </is>
      </c>
      <c r="B41" s="7" t="inlineStr">
        <is>
          <t>Ls_Tipo_de_ordem</t>
        </is>
      </c>
      <c r="C41" s="7">
        <f> INSPECAO UC CORTADA (I15/I30/I90/I180)</f>
        <v/>
      </c>
      <c r="D41" s="7" t="inlineStr">
        <is>
          <t>Tela Inspecao</t>
        </is>
      </c>
      <c r="E41" s="7" t="inlineStr">
        <is>
          <t>Tela_Inspecao_UC_Cortada</t>
        </is>
      </c>
      <c r="F41" s="7" t="inlineStr">
        <is>
          <t>Exibir tela (TOI + observacao)</t>
        </is>
      </c>
      <c r="G41" s="7" t="inlineStr">
        <is>
          <t>Inspecao UC Cortada (4 tipos)</t>
        </is>
      </c>
    </row>
    <row r="42">
      <c r="A42" s="7" t="inlineStr">
        <is>
          <t>Tipo de Ordem</t>
        </is>
      </c>
      <c r="B42" s="7" t="inlineStr">
        <is>
          <t>Ls_Tipo_de_ordem</t>
        </is>
      </c>
      <c r="C42" s="7">
        <f> CORTE DE UC POR DEF TECNICO</f>
        <v/>
      </c>
      <c r="D42" s="7" t="inlineStr">
        <is>
          <t>Tela Corte Def Tecnico</t>
        </is>
      </c>
      <c r="E42" s="7" t="inlineStr">
        <is>
          <t>Tela_Corte_de_UC_por_def_Tecnico</t>
        </is>
      </c>
      <c r="F42" s="7" t="inlineStr">
        <is>
          <t>Exibir tela (14 campos)</t>
        </is>
      </c>
      <c r="G42" s="7" t="inlineStr">
        <is>
          <t>Corte UC Def Tecnico</t>
        </is>
      </c>
    </row>
    <row r="43">
      <c r="A43" s="7" t="inlineStr">
        <is>
          <t>Tipo de Ordem</t>
        </is>
      </c>
      <c r="B43" s="7" t="inlineStr">
        <is>
          <t>Ls_Tipo_de_ordem</t>
        </is>
      </c>
      <c r="C43" s="7">
        <f> CORTE POR FALTA DE PAGAMENTO</f>
        <v/>
      </c>
      <c r="D43" s="7" t="inlineStr">
        <is>
          <t>Tela Corte Pagamento</t>
        </is>
      </c>
      <c r="E43" s="7" t="inlineStr">
        <is>
          <t>Tela_Corte_Por_Falta_de_Pagamento</t>
        </is>
      </c>
      <c r="F43" s="7" t="inlineStr">
        <is>
          <t>Exibir tela (corte/religacao + obs)</t>
        </is>
      </c>
      <c r="G43" s="7" t="inlineStr">
        <is>
          <t>Corte Falta Pagamento</t>
        </is>
      </c>
    </row>
    <row r="44">
      <c r="A44" s="7" t="inlineStr">
        <is>
          <t>Tipo de Ordem</t>
        </is>
      </c>
      <c r="B44" s="7" t="inlineStr">
        <is>
          <t>Ls_Tipo_de_ordem</t>
        </is>
      </c>
      <c r="C44" s="7">
        <f> DESLIG.PROG.MANUTENCAO</f>
        <v/>
      </c>
      <c r="D44" s="7" t="inlineStr">
        <is>
          <t>Tela Desligamento</t>
        </is>
      </c>
      <c r="E44" s="7" t="inlineStr">
        <is>
          <t>Tela_Desligamento_Programado</t>
        </is>
      </c>
      <c r="F44" s="7" t="inlineStr">
        <is>
          <t>Exibir tela (data/hora/previsao)</t>
        </is>
      </c>
      <c r="G44" s="7" t="inlineStr">
        <is>
          <t>Deslig. Programado</t>
        </is>
      </c>
    </row>
    <row r="45">
      <c r="A45" s="7" t="inlineStr">
        <is>
          <t>Tipo de Ordem</t>
        </is>
      </c>
      <c r="B45" s="7" t="inlineStr">
        <is>
          <t>Ls_Tipo_de_ordem</t>
        </is>
      </c>
      <c r="C45" s="7">
        <f> SUBSTITUICAO/INSTALACAO DISPLAY</f>
        <v/>
      </c>
      <c r="D45" s="7" t="inlineStr">
        <is>
          <t>Tela Display</t>
        </is>
      </c>
      <c r="E45" s="7" t="inlineStr">
        <is>
          <t>Tela_Substituicao_de_Display</t>
        </is>
      </c>
      <c r="F45" s="7" t="inlineStr">
        <is>
          <t>Exibir tela (servico/numero/obs)</t>
        </is>
      </c>
      <c r="G45" s="7" t="inlineStr">
        <is>
          <t>Display (2 tipos)</t>
        </is>
      </c>
    </row>
    <row r="46">
      <c r="A46" s="7" t="inlineStr">
        <is>
          <t>Tipo de Ordem</t>
        </is>
      </c>
      <c r="B46" s="7" t="inlineStr">
        <is>
          <t>Ls_Tipo_de_ordem</t>
        </is>
      </c>
      <c r="C46" s="7">
        <f> ET: VISTORIA - LIGACAO NOVA MT</f>
        <v/>
      </c>
      <c r="D46" s="7" t="inlineStr">
        <is>
          <t>Tela Vistoria</t>
        </is>
      </c>
      <c r="E46" s="7" t="inlineStr">
        <is>
          <t>Tela_Vistoria_ligacao</t>
        </is>
      </c>
      <c r="F46" s="7" t="inlineStr">
        <is>
          <t>Exibir tela (tomb/coord/obs)</t>
        </is>
      </c>
      <c r="G46" s="7" t="inlineStr">
        <is>
          <t>Vistoria Ligacao Nova MT</t>
        </is>
      </c>
    </row>
    <row r="47">
      <c r="A47" s="7" t="inlineStr">
        <is>
          <t>Tipo de Ordem</t>
        </is>
      </c>
      <c r="B47" s="7" t="inlineStr">
        <is>
          <t>Ls_Tipo_de_ordem</t>
        </is>
      </c>
      <c r="C47" s="7">
        <f> TELEMEDIÇÃO MANUTENCAO/LOTE</f>
        <v/>
      </c>
      <c r="D47" s="7" t="inlineStr">
        <is>
          <t>Telas Telem</t>
        </is>
      </c>
      <c r="E47" s="7" t="inlineStr">
        <is>
          <t>Tela_Telemedicao_Retirada + Instalada</t>
        </is>
      </c>
      <c r="F47" s="7" t="inlineStr">
        <is>
          <t>Exibir telas de telem (retirada + instalada)</t>
        </is>
      </c>
      <c r="G47" s="7" t="inlineStr">
        <is>
          <t>Telem (2 tipos)</t>
        </is>
      </c>
    </row>
    <row r="48">
      <c r="A48" s="7" t="inlineStr">
        <is>
          <t>Tipo de Ordem</t>
        </is>
      </c>
      <c r="B48" s="7" t="inlineStr">
        <is>
          <t>Ls_Tipo_de_ordem</t>
        </is>
      </c>
      <c r="C48" s="7" t="inlineStr">
        <is>
          <t>Template texto (15 tipos)</t>
        </is>
      </c>
      <c r="D48" s="7" t="inlineStr">
        <is>
          <t>Txt_Retorno</t>
        </is>
      </c>
      <c r="E48" s="7" t="inlineStr">
        <is>
          <t>Txt_Retorno</t>
        </is>
      </c>
      <c r="F48" s="7" t="inlineStr">
        <is>
          <t>Preencher template, fechar telas especificas</t>
        </is>
      </c>
      <c r="G48" s="7" t="inlineStr">
        <is>
          <t>15 tipos template</t>
        </is>
      </c>
    </row>
    <row r="49">
      <c r="A49" s="7" t="inlineStr">
        <is>
          <t>Tipo de Ordem</t>
        </is>
      </c>
      <c r="B49" s="7" t="inlineStr">
        <is>
          <t>Ls_Tipo_de_ordem</t>
        </is>
      </c>
      <c r="C49" s="7" t="inlineStr">
        <is>
          <t>Sem match (direto envio)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Lit6=2, vai direto para p$EnviarEmail</t>
        </is>
      </c>
      <c r="G49" s="7" t="inlineStr">
        <is>
          <t>4+ tipos sem tela</t>
        </is>
      </c>
    </row>
  </sheetData>
  <autoFilter ref="A1:G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45" customWidth="1" min="4" max="4"/>
  </cols>
  <sheetData>
    <row r="1">
      <c r="A1" s="1" t="inlineStr">
        <is>
          <t>Grupo</t>
        </is>
      </c>
      <c r="B1" s="1" t="inlineStr">
        <is>
          <t>Campo</t>
        </is>
      </c>
      <c r="C1" s="1" t="inlineStr">
        <is>
          <t>ID Componente</t>
        </is>
      </c>
      <c r="D1" s="1" t="inlineStr">
        <is>
          <t>Quando Obrigatorio</t>
        </is>
      </c>
    </row>
    <row r="2">
      <c r="A2" s="7" t="inlineStr">
        <is>
          <t>Equipamentos Instalados</t>
        </is>
      </c>
      <c r="B2" s="7" t="inlineStr">
        <is>
          <t>Medidor Instalado</t>
        </is>
      </c>
      <c r="C2" s="7" t="inlineStr">
        <is>
          <t>Cs_Informar_Medidor_Instalado</t>
        </is>
      </c>
      <c r="D2" s="7" t="inlineStr">
        <is>
          <t>Servico Executado = INSTALAR CONJUNTO</t>
        </is>
      </c>
    </row>
    <row r="3">
      <c r="A3" s="7" t="inlineStr">
        <is>
          <t>Equipamentos Instalados</t>
        </is>
      </c>
      <c r="B3" s="7" t="inlineStr">
        <is>
          <t>Conjunto Instalado</t>
        </is>
      </c>
      <c r="C3" s="7" t="inlineStr">
        <is>
          <t>Cs_Informar_Conjunto_Instalado</t>
        </is>
      </c>
      <c r="D3" s="7" t="inlineStr">
        <is>
          <t>Servico Executado = INSTALAR CONJUNTO</t>
        </is>
      </c>
    </row>
    <row r="4">
      <c r="A4" s="7" t="inlineStr">
        <is>
          <t>Equipamentos Instalados</t>
        </is>
      </c>
      <c r="B4" s="7" t="inlineStr">
        <is>
          <t>Display Instalado</t>
        </is>
      </c>
      <c r="C4" s="7" t="inlineStr">
        <is>
          <t>Cs_Informar_Display_Instalado</t>
        </is>
      </c>
      <c r="D4" s="7" t="inlineStr">
        <is>
          <t>Servico Executado = INSTALAR CONJUNTO</t>
        </is>
      </c>
    </row>
    <row r="5">
      <c r="A5" s="7" t="inlineStr">
        <is>
          <t>Equipamentos Instalados</t>
        </is>
      </c>
      <c r="B5" s="7" t="inlineStr">
        <is>
          <t>TC Fase A Instalado</t>
        </is>
      </c>
      <c r="C5" s="7" t="inlineStr">
        <is>
          <t>Cs_Informar_TC_FASE_A_Instalado</t>
        </is>
      </c>
      <c r="D5" s="7" t="inlineStr">
        <is>
          <t>Servico Executado = INSTALAR CONJUNTO</t>
        </is>
      </c>
    </row>
    <row r="6">
      <c r="A6" s="7" t="inlineStr">
        <is>
          <t>Equipamentos Instalados</t>
        </is>
      </c>
      <c r="B6" s="7" t="inlineStr">
        <is>
          <t>TC Fase B Instalado</t>
        </is>
      </c>
      <c r="C6" s="7" t="inlineStr">
        <is>
          <t>Cs_Informar_TC_FASE_B_Instalado</t>
        </is>
      </c>
      <c r="D6" s="7" t="inlineStr">
        <is>
          <t>Servico Executado = INSTALAR CONJUNTO</t>
        </is>
      </c>
    </row>
    <row r="7">
      <c r="A7" s="7" t="inlineStr">
        <is>
          <t>Equipamentos Instalados</t>
        </is>
      </c>
      <c r="B7" s="7" t="inlineStr">
        <is>
          <t>TC Fase C Instalado</t>
        </is>
      </c>
      <c r="C7" s="7" t="inlineStr">
        <is>
          <t>Cs_Informar_TC_FASE_C_Instalado</t>
        </is>
      </c>
      <c r="D7" s="7" t="inlineStr">
        <is>
          <t>Servico Executado = INSTALAR CONJUNTO</t>
        </is>
      </c>
    </row>
    <row r="8">
      <c r="A8" s="7" t="inlineStr">
        <is>
          <t>Equipamentos Instalados</t>
        </is>
      </c>
      <c r="B8" s="7" t="inlineStr">
        <is>
          <t>TP Fase A Instalado</t>
        </is>
      </c>
      <c r="C8" s="7" t="inlineStr">
        <is>
          <t>Cs_Informar_TP_FASE_A_Instalado</t>
        </is>
      </c>
      <c r="D8" s="7" t="inlineStr">
        <is>
          <t>Servico Executado = INSTALAR CONJUNTO</t>
        </is>
      </c>
    </row>
    <row r="9">
      <c r="A9" s="7" t="inlineStr">
        <is>
          <t>Equipamentos Instalados</t>
        </is>
      </c>
      <c r="B9" s="7" t="inlineStr">
        <is>
          <t>TP Fase B Instalado</t>
        </is>
      </c>
      <c r="C9" s="7" t="inlineStr">
        <is>
          <t>Cs_Informar_TP_FASE_B_Instalado</t>
        </is>
      </c>
      <c r="D9" s="7" t="inlineStr">
        <is>
          <t>Servico Executado = INSTALAR CONJUNTO</t>
        </is>
      </c>
    </row>
    <row r="10">
      <c r="A10" s="7" t="inlineStr">
        <is>
          <t>Equipamentos Instalados</t>
        </is>
      </c>
      <c r="B10" s="7" t="inlineStr">
        <is>
          <t>TP Fase C Instalado</t>
        </is>
      </c>
      <c r="C10" s="7" t="inlineStr">
        <is>
          <t>Cs_Informar_TP_FASE_C_Instalado</t>
        </is>
      </c>
      <c r="D10" s="7" t="inlineStr">
        <is>
          <t>Servico Executado = INSTALAR CONJUNTO</t>
        </is>
      </c>
    </row>
    <row r="11">
      <c r="A11" s="7" t="inlineStr">
        <is>
          <t>Equipamentos Retirados</t>
        </is>
      </c>
      <c r="B11" s="7" t="inlineStr">
        <is>
          <t>Medidor Retirado</t>
        </is>
      </c>
      <c r="C11" s="7" t="inlineStr">
        <is>
          <t>Cs_Informar_Medidor_Retirado</t>
        </is>
      </c>
      <c r="D11" s="7" t="inlineStr">
        <is>
          <t>Servico Executado = RETIRADO</t>
        </is>
      </c>
    </row>
    <row r="12">
      <c r="A12" s="7" t="inlineStr">
        <is>
          <t>Equipamentos Retirados</t>
        </is>
      </c>
      <c r="B12" s="7" t="inlineStr">
        <is>
          <t>Conjunto Retirado</t>
        </is>
      </c>
      <c r="C12" s="7" t="inlineStr">
        <is>
          <t>Cs_Informar_Conjunto_Retirado</t>
        </is>
      </c>
      <c r="D12" s="7" t="inlineStr">
        <is>
          <t>Servico Executado = RETIRADO</t>
        </is>
      </c>
    </row>
    <row r="13">
      <c r="A13" s="7" t="inlineStr">
        <is>
          <t>Equipamentos Retirados</t>
        </is>
      </c>
      <c r="B13" s="7" t="inlineStr">
        <is>
          <t>Display Retirado</t>
        </is>
      </c>
      <c r="C13" s="7" t="inlineStr">
        <is>
          <t>Cs_Informar_Display_Retirado</t>
        </is>
      </c>
      <c r="D13" s="7" t="inlineStr">
        <is>
          <t>Servico Executado = RETIRADO</t>
        </is>
      </c>
    </row>
    <row r="14">
      <c r="A14" s="7" t="inlineStr">
        <is>
          <t>Equipamentos Retirados</t>
        </is>
      </c>
      <c r="B14" s="7" t="inlineStr">
        <is>
          <t>TC Fase A Retirado</t>
        </is>
      </c>
      <c r="C14" s="7" t="inlineStr">
        <is>
          <t>Cs_Informar_TC_FASE_A_Retirado</t>
        </is>
      </c>
      <c r="D14" s="7" t="inlineStr">
        <is>
          <t>Servico Executado = RETIRADO</t>
        </is>
      </c>
    </row>
    <row r="15">
      <c r="A15" s="7" t="inlineStr">
        <is>
          <t>Equipamentos Retirados</t>
        </is>
      </c>
      <c r="B15" s="7" t="inlineStr">
        <is>
          <t>TC Fase B Retirado</t>
        </is>
      </c>
      <c r="C15" s="7" t="inlineStr">
        <is>
          <t>Cs_Informar_TC_FASE_B_Retirado</t>
        </is>
      </c>
      <c r="D15" s="7" t="inlineStr">
        <is>
          <t>Servico Executado = RETIRADO</t>
        </is>
      </c>
    </row>
    <row r="16">
      <c r="A16" s="7" t="inlineStr">
        <is>
          <t>Equipamentos Retirados</t>
        </is>
      </c>
      <c r="B16" s="7" t="inlineStr">
        <is>
          <t>TC Fase C Retirado</t>
        </is>
      </c>
      <c r="C16" s="7" t="inlineStr">
        <is>
          <t>Cs_Informar_TC_FASE_C_Retirado</t>
        </is>
      </c>
      <c r="D16" s="7" t="inlineStr">
        <is>
          <t>Servico Executado = RETIRADO</t>
        </is>
      </c>
    </row>
    <row r="17">
      <c r="A17" s="7" t="inlineStr">
        <is>
          <t>Equipamentos Retirados</t>
        </is>
      </c>
      <c r="B17" s="7" t="inlineStr">
        <is>
          <t>TP Fase A Retirado</t>
        </is>
      </c>
      <c r="C17" s="7" t="inlineStr">
        <is>
          <t>Cs_Informar_TP_FASE_A_Retirado</t>
        </is>
      </c>
      <c r="D17" s="7" t="inlineStr">
        <is>
          <t>Servico Executado = RETIRADO</t>
        </is>
      </c>
    </row>
    <row r="18">
      <c r="A18" s="7" t="inlineStr">
        <is>
          <t>Equipamentos Retirados</t>
        </is>
      </c>
      <c r="B18" s="7" t="inlineStr">
        <is>
          <t>TP Fase B Retirado</t>
        </is>
      </c>
      <c r="C18" s="7" t="inlineStr">
        <is>
          <t>Cs_Informar_TP_FASE_B_Retirado</t>
        </is>
      </c>
      <c r="D18" s="7" t="inlineStr">
        <is>
          <t>Servico Executado = RETIRADO</t>
        </is>
      </c>
    </row>
    <row r="19">
      <c r="A19" s="7" t="inlineStr">
        <is>
          <t>Equipamentos Retirados</t>
        </is>
      </c>
      <c r="B19" s="7" t="inlineStr">
        <is>
          <t>TP Fase C Retirado</t>
        </is>
      </c>
      <c r="C19" s="7" t="inlineStr">
        <is>
          <t>Cs_Informar_TP_FASE_C_Retirado</t>
        </is>
      </c>
      <c r="D19" s="7" t="inlineStr">
        <is>
          <t>Servico Executado = RETIRADO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2026-06-10T14:23:18Z</dcterms:created>
  <dcterms:modified xsi:type="dcterms:W3CDTF">2026-06-10T14:23:18Z</dcterms:modified>
</cp:coreProperties>
</file>